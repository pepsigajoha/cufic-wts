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게임설정" sheetId="2" state="visible" r:id="rId2"/>
    <sheet xmlns:r="http://schemas.openxmlformats.org/officeDocument/2006/relationships" name="종목" sheetId="3" state="visible" r:id="rId3"/>
    <sheet xmlns:r="http://schemas.openxmlformats.org/officeDocument/2006/relationships" name="재무제표" sheetId="4" state="visible" r:id="rId4"/>
    <sheet xmlns:r="http://schemas.openxmlformats.org/officeDocument/2006/relationships" name="힌트" sheetId="5" state="visible" r:id="rId5"/>
    <sheet xmlns:r="http://schemas.openxmlformats.org/officeDocument/2006/relationships" name="시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color rgb="006B7280"/>
      <sz val="9"/>
    </font>
    <font>
      <name val="Arial"/>
      <b val="1"/>
      <color rgb="00FFFFFF"/>
      <sz val="10"/>
    </font>
    <font>
      <name val="Arial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E6"/>
      </patternFill>
    </fill>
    <fill>
      <patternFill patternType="solid">
        <fgColor rgb="006B7280"/>
      </patternFill>
    </fill>
    <fill>
      <patternFill patternType="solid">
        <fgColor rgb="00EFF6FF"/>
      </patternFill>
    </fill>
    <fill>
      <patternFill patternType="solid">
        <fgColor rgb="009CA3A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2" fillId="3" borderId="1" pivotButton="0" quotePrefix="0" xfId="0"/>
    <xf numFmtId="0" fontId="6" fillId="4" borderId="1" applyAlignment="1" pivotButton="0" quotePrefix="0" xfId="0">
      <alignment horizontal="center"/>
    </xf>
    <xf numFmtId="0" fontId="2" fillId="5" borderId="1" pivotButton="0" quotePrefix="0" xfId="0"/>
    <xf numFmtId="0" fontId="6" fillId="6" borderId="1" applyAlignment="1" pivotButton="0" quotePrefix="0" xfId="0">
      <alignment horizontal="center"/>
    </xf>
    <xf numFmtId="0" fontId="7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CUFIC WTS 게임 데이터셋 제작 양식 (v4)</t>
        </is>
      </c>
    </row>
    <row r="2"/>
    <row r="3">
      <c r="A3" s="2" t="inlineStr">
        <is>
          <t>이 파일의 시트 5개를 채우면 게임 한 판이 완성됩니다.</t>
        </is>
      </c>
    </row>
    <row r="4">
      <c r="A4" s="3" t="inlineStr">
        <is>
          <t>노란 칸 = 꼭 채우는 곳 / 파란 칸 = 선택 (비워도 됨, 헤더에 "(선택)" 표시)</t>
        </is>
      </c>
    </row>
    <row r="5">
      <c r="A5" s="2" t="inlineStr">
        <is>
          <t>지금 들어있는 내용은 "기본 데이터셋 (2025)" 예시입니다 — 지우지 말고 고쳐 쓰는 걸 추천해요.</t>
        </is>
      </c>
    </row>
    <row r="6">
      <c r="A6" s="2" t="inlineStr">
        <is>
          <t>종목·힌트 개수는 자유입니다. 행을 추가/삭제하면 그대로 게임 구성이 돼요. (힌트는 라운드당 등급별 1개 이상 권장)</t>
        </is>
      </c>
    </row>
    <row r="7"/>
    <row r="8">
      <c r="A8" s="4" t="inlineStr">
        <is>
          <t>★ 가격은 두 가지 방법으로 쓸 수 있어요</t>
        </is>
      </c>
    </row>
    <row r="9">
      <c r="A9" s="2" t="inlineStr">
        <is>
          <t xml:space="preserve">  · 그냥 숫자 = 가격(원)  (예: 7300)</t>
        </is>
      </c>
    </row>
    <row r="10">
      <c r="A10" s="2" t="inlineStr">
        <is>
          <t xml:space="preserve">  · %를 붙이면 = 전년 대비 등락률 → 업로드할 때 자동으로 가격으로 계산돼요  (예: +80%, -25%)</t>
        </is>
      </c>
    </row>
    <row r="11">
      <c r="A11" s="2" t="inlineStr">
        <is>
          <t xml:space="preserve">  · 단, 종목이 처음 등장하는 연도는 반드시 가격(숫자)으로! (기준점이 필요해요)</t>
        </is>
      </c>
    </row>
    <row r="12">
      <c r="A12" s="2" t="inlineStr">
        <is>
          <t xml:space="preserve">  · 섞어 써도 됩니다: 2020=7300, 2021=+80%, 2022=17700 처럼</t>
        </is>
      </c>
    </row>
    <row r="13"/>
    <row r="14">
      <c r="A14" s="4" t="inlineStr">
        <is>
          <t>작성 순서 (이 순서대로!)</t>
        </is>
      </c>
    </row>
    <row r="15">
      <c r="A15" s="2" t="inlineStr">
        <is>
          <t xml:space="preserve">  ① 게임설정 — 라운드 수·연도·시드 확정</t>
        </is>
      </c>
    </row>
    <row r="16">
      <c r="A16" s="2" t="inlineStr">
        <is>
          <t xml:space="preserve">  ② 종목 — 종목 이름·소개와 연도별 가격 (게임의 뼈대. 가격을 먼저 완성해야 힌트를 맞출 수 있어요)</t>
        </is>
      </c>
    </row>
    <row r="17">
      <c r="A17" s="2" t="inlineStr">
        <is>
          <t xml:space="preserve">  ③ 재무제표 — 가격 흐름과 방향이 맞게 (주가 떨어지는 해에 실적이 좋아지면 안 돼요)</t>
        </is>
      </c>
    </row>
    <row r="18">
      <c r="A18" s="2" t="inlineStr">
        <is>
          <t xml:space="preserve">  ④ 힌트 — 라운드×등급별. ★제일 중요: R라운드 힌트는 "그 해 → 다음 해" 변동의 예고예요</t>
        </is>
      </c>
    </row>
    <row r="19">
      <c r="A19" s="2" t="inlineStr">
        <is>
          <t xml:space="preserve">  ⑤ 시황 — 연도별 거시 지표 (실제 역사 기반이면 사실에 가깝게)</t>
        </is>
      </c>
    </row>
    <row r="20"/>
    <row r="21">
      <c r="A21" s="4" t="inlineStr">
        <is>
          <t>꼭 지킬 규칙</t>
        </is>
      </c>
    </row>
    <row r="22">
      <c r="A22" s="2" t="inlineStr">
        <is>
          <t xml:space="preserve">  · 가격 0 또는 빈칸 = 거래정지/상장폐지로 동작 (의도할 때만!) — 0인 해 다음에는 %를 쓸 수 없어요</t>
        </is>
      </c>
    </row>
    <row r="23">
      <c r="A23" s="2" t="inlineStr">
        <is>
          <t xml:space="preserve">  · 신규상장 종목은 상장 전 연도 가격을 비워두세요</t>
        </is>
      </c>
    </row>
    <row r="24">
      <c r="A24" s="2" t="inlineStr">
        <is>
          <t xml:space="preserve">  · 힌트의 "방향·관련 종목"은 선택이지만, 채우면 업로드할 때 문구↔실제 등락 모순을 자동으로 잡아줘요</t>
        </is>
      </c>
    </row>
    <row r="25">
      <c r="A25" s="2" t="inlineStr">
        <is>
          <t xml:space="preserve">    (특정 종목을 가리키는 힌트라면 채우는 걸 강력 추천!)</t>
        </is>
      </c>
    </row>
    <row r="26">
      <c r="A26" s="2" t="inlineStr">
        <is>
          <t xml:space="preserve">  · 다 채우면 개발팀에 전달 → 관리자 화면 업로드 → 자동 검증 → 데이터셋 완성</t>
        </is>
      </c>
    </row>
    <row r="27">
      <c r="A27" s="2" t="inlineStr">
        <is>
          <t xml:space="preserve">  · 재무제표 시트의 회색 열은 자동계산이에요 — 입력하면서 자본·이익·비율을 바로 확인하세요 (자본잠식이 뜨면 부채가 자산보다 큰 거예요)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</cols>
  <sheetData>
    <row r="1">
      <c r="A1" s="1" t="inlineStr">
        <is>
          <t>① 게임설정</t>
        </is>
      </c>
    </row>
    <row r="2">
      <c r="A2" s="5" t="inlineStr">
        <is>
          <t>항목 이름(A열)은 바꾸지 말고 값(B열)만 수정하세요. 라운드 연도는 ②종목 시트의 가격 열과 일치해야 해요.</t>
        </is>
      </c>
    </row>
    <row r="4">
      <c r="A4" s="6" t="inlineStr">
        <is>
          <t>항목</t>
        </is>
      </c>
      <c r="B4" s="6" t="inlineStr">
        <is>
          <t>값</t>
        </is>
      </c>
      <c r="C4" s="6" t="inlineStr">
        <is>
          <t>설명</t>
        </is>
      </c>
    </row>
    <row r="5">
      <c r="A5" s="7" t="inlineStr">
        <is>
          <t>총 라운드 수</t>
        </is>
      </c>
      <c r="B5" s="7" t="n">
        <v>5</v>
      </c>
      <c r="C5" s="7" t="inlineStr">
        <is>
          <t>보통 5</t>
        </is>
      </c>
    </row>
    <row r="6">
      <c r="A6" s="7" t="inlineStr">
        <is>
          <t>시작 시드머니(원)</t>
        </is>
      </c>
      <c r="B6" s="7" t="n">
        <v>100000000</v>
      </c>
      <c r="C6" s="7" t="inlineStr">
        <is>
          <t>전 조 동일</t>
        </is>
      </c>
    </row>
    <row r="7">
      <c r="A7" s="7" t="inlineStr">
        <is>
          <t>타이머(초)</t>
        </is>
      </c>
      <c r="B7" s="7" t="n">
        <v>600</v>
      </c>
      <c r="C7" s="7" t="inlineStr">
        <is>
          <t>600 = 10분</t>
        </is>
      </c>
    </row>
    <row r="8">
      <c r="A8" s="7" t="inlineStr">
        <is>
          <t>최종 정산 연도</t>
        </is>
      </c>
      <c r="B8" s="7" t="n">
        <v>2025</v>
      </c>
      <c r="C8" s="7" t="inlineStr">
        <is>
          <t>대회 종료 시 이 연도 가격으로 최종 평가</t>
        </is>
      </c>
    </row>
    <row r="9">
      <c r="A9" s="7" t="inlineStr">
        <is>
          <t>R1 연도</t>
        </is>
      </c>
      <c r="B9" s="7" t="n">
        <v>2020</v>
      </c>
      <c r="C9" s="7" t="inlineStr">
        <is>
          <t>1라운드에서 거래하는 연도</t>
        </is>
      </c>
    </row>
    <row r="10">
      <c r="A10" s="7" t="inlineStr">
        <is>
          <t>R2 연도</t>
        </is>
      </c>
      <c r="B10" s="7" t="n">
        <v>2021</v>
      </c>
      <c r="C10" s="7" t="inlineStr">
        <is>
          <t>2라운드에서 거래하는 연도</t>
        </is>
      </c>
    </row>
    <row r="11">
      <c r="A11" s="7" t="inlineStr">
        <is>
          <t>R3 연도</t>
        </is>
      </c>
      <c r="B11" s="7" t="n">
        <v>2022</v>
      </c>
      <c r="C11" s="7" t="inlineStr">
        <is>
          <t>3라운드에서 거래하는 연도</t>
        </is>
      </c>
    </row>
    <row r="12">
      <c r="A12" s="7" t="inlineStr">
        <is>
          <t>R4 연도</t>
        </is>
      </c>
      <c r="B12" s="7" t="n">
        <v>2023</v>
      </c>
      <c r="C12" s="7" t="inlineStr">
        <is>
          <t>4라운드에서 거래하는 연도</t>
        </is>
      </c>
    </row>
    <row r="13">
      <c r="A13" s="7" t="inlineStr">
        <is>
          <t>R5 연도</t>
        </is>
      </c>
      <c r="B13" s="7" t="n">
        <v>2024</v>
      </c>
      <c r="C13" s="7" t="inlineStr">
        <is>
          <t>5라운드에서 거래하는 연도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② 종목과 연도별 가격</t>
        </is>
      </c>
    </row>
    <row r="2">
      <c r="A2" s="5" t="inlineStr">
        <is>
          <t>한 행 = 종목 하나. ID는 S01, S02… 순서로. 가격 칸: 숫자=가격(원), %붙이면=전년 대비 등락률(예: +80%). 첫 등장 연도는 반드시 가격! 빈칸/0 = 거래정지·미상장. 행 추가/삭제 자유.</t>
        </is>
      </c>
    </row>
    <row r="4">
      <c r="A4" s="6" t="inlineStr">
        <is>
          <t>ID</t>
        </is>
      </c>
      <c r="B4" s="6" t="inlineStr">
        <is>
          <t>종목명</t>
        </is>
      </c>
      <c r="C4" s="6" t="inlineStr">
        <is>
          <t>한 줄 소개</t>
        </is>
      </c>
      <c r="D4" s="8" t="inlineStr">
        <is>
          <t>업종 (선택)</t>
        </is>
      </c>
      <c r="E4" s="6" t="inlineStr">
        <is>
          <t>상장라운드</t>
        </is>
      </c>
      <c r="F4" s="6" t="inlineStr">
        <is>
          <t>2020년 가격</t>
        </is>
      </c>
      <c r="G4" s="6" t="inlineStr">
        <is>
          <t>2021년 가격</t>
        </is>
      </c>
      <c r="H4" s="6" t="inlineStr">
        <is>
          <t>2022년 가격</t>
        </is>
      </c>
      <c r="I4" s="6" t="inlineStr">
        <is>
          <t>2023년 가격</t>
        </is>
      </c>
      <c r="J4" s="6" t="inlineStr">
        <is>
          <t>2024년 가격</t>
        </is>
      </c>
      <c r="K4" s="6" t="inlineStr">
        <is>
          <t>2025년 가격</t>
        </is>
      </c>
    </row>
    <row r="5">
      <c r="A5" s="7" t="inlineStr">
        <is>
          <t>S01</t>
        </is>
      </c>
      <c r="B5" s="7" t="inlineStr">
        <is>
          <t>승주보험</t>
        </is>
      </c>
      <c r="C5" s="7" t="inlineStr">
        <is>
          <t>자동차·생명 보험을 파는 회사예요. 경기가 흔들려도 보험료가 꾸준히 들어와요.</t>
        </is>
      </c>
      <c r="D5" s="9" t="inlineStr"/>
      <c r="E5" s="7" t="n">
        <v>1</v>
      </c>
      <c r="F5" s="7" t="n">
        <v>29300</v>
      </c>
      <c r="G5" s="7" t="n">
        <v>35000</v>
      </c>
      <c r="H5" s="7" t="n">
        <v>50200</v>
      </c>
      <c r="I5" s="7" t="n">
        <v>53000</v>
      </c>
      <c r="J5" s="7" t="n">
        <v>52600</v>
      </c>
      <c r="K5" s="7" t="n">
        <v>33000</v>
      </c>
    </row>
    <row r="6">
      <c r="A6" s="7" t="inlineStr">
        <is>
          <t>S02</t>
        </is>
      </c>
      <c r="B6" s="7" t="inlineStr">
        <is>
          <t>백만전자</t>
        </is>
      </c>
      <c r="C6" s="7" t="inlineStr">
        <is>
          <t>반도체와 전자부품을 만드는 대형 기술 기업이에요. 경기에 따라 실적이 크게 움직여요.</t>
        </is>
      </c>
      <c r="D6" s="9" t="inlineStr"/>
      <c r="E6" s="7" t="n">
        <v>1</v>
      </c>
      <c r="F6" s="7" t="n">
        <v>7300</v>
      </c>
      <c r="G6" s="7" t="n">
        <v>13200</v>
      </c>
      <c r="H6" s="7" t="n">
        <v>17700</v>
      </c>
      <c r="I6" s="7" t="n">
        <v>12900</v>
      </c>
      <c r="J6" s="7" t="n">
        <v>19200</v>
      </c>
      <c r="K6" s="7" t="n">
        <v>25000</v>
      </c>
    </row>
    <row r="7">
      <c r="A7" s="7" t="inlineStr">
        <is>
          <t>S03</t>
        </is>
      </c>
      <c r="B7" s="7" t="inlineStr">
        <is>
          <t>C소프트</t>
        </is>
      </c>
      <c r="C7" s="7" t="inlineStr">
        <is>
          <t>기업용 소프트웨어를 만드는 회사예요. 한 번 계약하면 오래 쓰는 고객이 많아요.</t>
        </is>
      </c>
      <c r="D7" s="9" t="inlineStr"/>
      <c r="E7" s="7" t="n">
        <v>1</v>
      </c>
      <c r="F7" s="7" t="n">
        <v>10700</v>
      </c>
      <c r="G7" s="7" t="n">
        <v>14300</v>
      </c>
      <c r="H7" s="7" t="n">
        <v>13100</v>
      </c>
      <c r="I7" s="7" t="n">
        <v>12200</v>
      </c>
      <c r="J7" s="7" t="n">
        <v>13600</v>
      </c>
      <c r="K7" s="7" t="n">
        <v>20400</v>
      </c>
    </row>
    <row r="8">
      <c r="A8" s="7" t="inlineStr">
        <is>
          <t>S04</t>
        </is>
      </c>
      <c r="B8" s="7" t="inlineStr">
        <is>
          <t>D게임즈</t>
        </is>
      </c>
      <c r="C8" s="7" t="inlineStr">
        <is>
          <t>모바일 게임을 만드는 작은 회사예요. 게임 하나가 터지면 회사가 통째로 달라져요.</t>
        </is>
      </c>
      <c r="D8" s="9" t="inlineStr"/>
      <c r="E8" s="7" t="n">
        <v>1</v>
      </c>
      <c r="F8" s="7" t="n">
        <v>100</v>
      </c>
      <c r="G8" s="7" t="n">
        <v>400</v>
      </c>
      <c r="H8" s="7" t="n">
        <v>3700</v>
      </c>
      <c r="I8" s="7" t="n">
        <v>1800</v>
      </c>
      <c r="J8" s="7" t="n">
        <v>1700</v>
      </c>
      <c r="K8" s="7" t="n">
        <v>3100</v>
      </c>
    </row>
    <row r="9">
      <c r="A9" s="7" t="inlineStr">
        <is>
          <t>S05</t>
        </is>
      </c>
      <c r="B9" s="7" t="inlineStr">
        <is>
          <t>양재금융</t>
        </is>
      </c>
      <c r="C9" s="7" t="inlineStr">
        <is>
          <t>공격적인 투자로 유명한 금융 회사예요. 벌 때는 크게 벌지만 빚도 많아요.</t>
        </is>
      </c>
      <c r="D9" s="9" t="inlineStr"/>
      <c r="E9" s="7" t="n">
        <v>1</v>
      </c>
      <c r="F9" s="7" t="n">
        <v>25100</v>
      </c>
      <c r="G9" s="7" t="n">
        <v>38800</v>
      </c>
      <c r="H9" s="7" t="n">
        <v>67800</v>
      </c>
      <c r="I9" s="7" t="n">
        <v>31000</v>
      </c>
      <c r="J9" s="7" t="n">
        <v>0</v>
      </c>
      <c r="K9" s="7" t="n">
        <v>0</v>
      </c>
    </row>
    <row r="10">
      <c r="A10" s="7" t="inlineStr">
        <is>
          <t>S06</t>
        </is>
      </c>
      <c r="B10" s="7" t="inlineStr">
        <is>
          <t>F모빌리티</t>
        </is>
      </c>
      <c r="C10" s="7" t="inlineStr">
        <is>
          <t>전기 스쿠터·공유 모빌리티 스타트업이에요. 미래 성장 기대로 주목받았어요.</t>
        </is>
      </c>
      <c r="D10" s="9" t="inlineStr"/>
      <c r="E10" s="7" t="n">
        <v>1</v>
      </c>
      <c r="F10" s="7" t="n">
        <v>30900</v>
      </c>
      <c r="G10" s="7" t="n">
        <v>187700</v>
      </c>
      <c r="H10" s="7" t="n">
        <v>47800</v>
      </c>
      <c r="I10" s="7" t="n">
        <v>18100</v>
      </c>
      <c r="J10" s="7" t="n">
        <v>3700</v>
      </c>
      <c r="K10" s="7" t="n">
        <v>0</v>
      </c>
    </row>
    <row r="11">
      <c r="A11" s="7" t="inlineStr">
        <is>
          <t>S07</t>
        </is>
      </c>
      <c r="B11" s="7" t="inlineStr">
        <is>
          <t>형록전자</t>
        </is>
      </c>
      <c r="C11" s="7" t="inlineStr">
        <is>
          <t>부품을 납품하는 중소 전자 회사예요. 큰 회사 주문에 실적이 좌우돼요.</t>
        </is>
      </c>
      <c r="D11" s="9" t="inlineStr"/>
      <c r="E11" s="7" t="n">
        <v>1</v>
      </c>
      <c r="F11" s="7" t="n">
        <v>5900</v>
      </c>
      <c r="G11" s="7" t="n">
        <v>4900</v>
      </c>
      <c r="H11" s="7" t="n">
        <v>5100</v>
      </c>
      <c r="I11" s="7" t="n">
        <v>2600</v>
      </c>
      <c r="J11" s="7" t="n">
        <v>5000</v>
      </c>
      <c r="K11" s="7" t="n">
        <v>2000</v>
      </c>
    </row>
    <row r="12">
      <c r="A12" s="7" t="inlineStr">
        <is>
          <t>S08</t>
        </is>
      </c>
      <c r="B12" s="7" t="inlineStr">
        <is>
          <t>백학푸드</t>
        </is>
      </c>
      <c r="C12" s="7" t="inlineStr">
        <is>
          <t>라면·간편식을 만드는 식품 회사예요. 화려하진 않지만 꾸준히 팔려요.</t>
        </is>
      </c>
      <c r="D12" s="9" t="inlineStr"/>
      <c r="E12" s="7" t="n">
        <v>1</v>
      </c>
      <c r="F12" s="7" t="n">
        <v>5500</v>
      </c>
      <c r="G12" s="7" t="n">
        <v>5400</v>
      </c>
      <c r="H12" s="7" t="n">
        <v>5900</v>
      </c>
      <c r="I12" s="7" t="n">
        <v>6300</v>
      </c>
      <c r="J12" s="7" t="n">
        <v>5800</v>
      </c>
      <c r="K12" s="7" t="n">
        <v>6200</v>
      </c>
    </row>
    <row r="13">
      <c r="A13" s="7" t="inlineStr">
        <is>
          <t>S09</t>
        </is>
      </c>
      <c r="B13" s="7" t="inlineStr">
        <is>
          <t>I모터스</t>
        </is>
      </c>
      <c r="C13" s="7" t="inlineStr">
        <is>
          <t>전기차를 만드는 자동차 회사예요. 신차 반응에 따라 주가가 크게 출렁여요.</t>
        </is>
      </c>
      <c r="D13" s="9" t="inlineStr"/>
      <c r="E13" s="7" t="n">
        <v>1</v>
      </c>
      <c r="F13" s="7" t="n">
        <v>2700</v>
      </c>
      <c r="G13" s="7" t="n">
        <v>23500</v>
      </c>
      <c r="H13" s="7" t="n">
        <v>35200</v>
      </c>
      <c r="I13" s="7" t="n">
        <v>12300</v>
      </c>
      <c r="J13" s="7" t="n">
        <v>24800</v>
      </c>
      <c r="K13" s="7" t="n">
        <v>40300</v>
      </c>
    </row>
    <row r="14">
      <c r="A14" s="7" t="inlineStr">
        <is>
          <t>S10</t>
        </is>
      </c>
      <c r="B14" s="7" t="inlineStr">
        <is>
          <t>J시스템즈</t>
        </is>
      </c>
      <c r="C14" s="7" t="inlineStr">
        <is>
          <t>인공지능 서버 장비를 만드는 회사예요. 오랫동안 무명이었지만 기술력은 있다는 평이에요.</t>
        </is>
      </c>
      <c r="D14" s="9" t="inlineStr"/>
      <c r="E14" s="7" t="n">
        <v>1</v>
      </c>
      <c r="F14" s="7" t="n">
        <v>200</v>
      </c>
      <c r="G14" s="7" t="n">
        <v>300</v>
      </c>
      <c r="H14" s="7" t="n">
        <v>400</v>
      </c>
      <c r="I14" s="7" t="n">
        <v>600</v>
      </c>
      <c r="J14" s="7" t="n">
        <v>7000</v>
      </c>
      <c r="K14" s="7" t="n">
        <v>2200</v>
      </c>
    </row>
    <row r="15">
      <c r="A15" s="7" t="inlineStr">
        <is>
          <t>S11</t>
        </is>
      </c>
      <c r="B15" s="7" t="inlineStr">
        <is>
          <t>경상제약</t>
        </is>
      </c>
      <c r="C15" s="7" t="inlineStr">
        <is>
          <t>복제약과 건강기능식품을 만드는 제약사예요. 신약 개발도 조금씩 하고 있어요.</t>
        </is>
      </c>
      <c r="D15" s="9" t="inlineStr"/>
      <c r="E15" s="7" t="n">
        <v>1</v>
      </c>
      <c r="F15" s="7" t="n">
        <v>2800</v>
      </c>
      <c r="G15" s="7" t="n">
        <v>3400</v>
      </c>
      <c r="H15" s="7" t="n">
        <v>5600</v>
      </c>
      <c r="I15" s="7" t="n">
        <v>6700</v>
      </c>
      <c r="J15" s="7" t="n">
        <v>10300</v>
      </c>
      <c r="K15" s="7" t="n">
        <v>8600</v>
      </c>
    </row>
    <row r="16">
      <c r="A16" s="7" t="inlineStr">
        <is>
          <t>S12</t>
        </is>
      </c>
      <c r="B16" s="7" t="inlineStr">
        <is>
          <t>HeeSoo ENT.</t>
        </is>
      </c>
      <c r="C16" s="7" t="inlineStr">
        <is>
          <t>아이돌 그룹을 키우는 엔터테인먼트 회사예요. 소속 가수 활동에 따라 실적이 요동쳐요.</t>
        </is>
      </c>
      <c r="D16" s="9" t="inlineStr"/>
      <c r="E16" s="7" t="n">
        <v>1</v>
      </c>
      <c r="F16" s="7" t="n">
        <v>3200</v>
      </c>
      <c r="G16" s="7" t="n">
        <v>5400</v>
      </c>
      <c r="H16" s="7" t="n">
        <v>6000</v>
      </c>
      <c r="I16" s="7" t="n">
        <v>2900</v>
      </c>
      <c r="J16" s="7" t="n">
        <v>4800</v>
      </c>
      <c r="K16" s="7" t="n">
        <v>8900</v>
      </c>
    </row>
    <row r="17">
      <c r="A17" s="7" t="inlineStr">
        <is>
          <t>S13</t>
        </is>
      </c>
      <c r="B17" s="7" t="inlineStr">
        <is>
          <t>M증권</t>
        </is>
      </c>
      <c r="C17" s="7" t="inlineStr">
        <is>
          <t>새로 생긴 온라인 증권사예요. 수수료 무료 정책으로 이용자를 모으고 있어요. (R3 신규 상장)</t>
        </is>
      </c>
      <c r="D17" s="9" t="inlineStr"/>
      <c r="E17" s="7" t="n">
        <v>3</v>
      </c>
      <c r="F17" s="7" t="n">
        <v>0</v>
      </c>
      <c r="G17" s="7" t="n">
        <v>0</v>
      </c>
      <c r="H17" s="7" t="n">
        <v>1700</v>
      </c>
      <c r="I17" s="7" t="n">
        <v>800</v>
      </c>
      <c r="J17" s="7" t="n">
        <v>1200</v>
      </c>
      <c r="K17" s="7" t="n">
        <v>3700</v>
      </c>
    </row>
    <row r="18">
      <c r="A18" s="7" t="inlineStr">
        <is>
          <t>S14</t>
        </is>
      </c>
      <c r="B18" s="7" t="inlineStr">
        <is>
          <t>N스포츠</t>
        </is>
      </c>
      <c r="C18" s="7" t="inlineStr">
        <is>
          <t>스포츠 용품 브랜드예요. 한때 SNS에서 크게 유행했던 적이 있어요.</t>
        </is>
      </c>
      <c r="D18" s="9" t="inlineStr"/>
      <c r="E18" s="7" t="n">
        <v>1</v>
      </c>
      <c r="F18" s="7" t="n">
        <v>2800</v>
      </c>
      <c r="G18" s="7" t="n">
        <v>15100</v>
      </c>
      <c r="H18" s="7" t="n">
        <v>3500</v>
      </c>
      <c r="I18" s="7" t="n">
        <v>700</v>
      </c>
      <c r="J18" s="7" t="n">
        <v>600</v>
      </c>
      <c r="K18" s="7" t="n">
        <v>800</v>
      </c>
    </row>
    <row r="19">
      <c r="A19" s="7" t="inlineStr">
        <is>
          <t>S15</t>
        </is>
      </c>
      <c r="B19" s="7" t="inlineStr">
        <is>
          <t>O에어로</t>
        </is>
      </c>
      <c r="C19" s="7" t="inlineStr">
        <is>
          <t>항공기 부품을 만드는 회사예요. 여행 수요와 방산 수주에 영향을 받아요.</t>
        </is>
      </c>
      <c r="D19" s="9" t="inlineStr"/>
      <c r="E19" s="7" t="n">
        <v>1</v>
      </c>
      <c r="F19" s="7" t="n">
        <v>32500</v>
      </c>
      <c r="G19" s="7" t="n">
        <v>21400</v>
      </c>
      <c r="H19" s="7" t="n">
        <v>20100</v>
      </c>
      <c r="I19" s="7" t="n">
        <v>19000</v>
      </c>
      <c r="J19" s="7" t="n">
        <v>26000</v>
      </c>
      <c r="K19" s="7" t="n">
        <v>17700</v>
      </c>
    </row>
    <row r="20">
      <c r="A20" s="7" t="inlineStr">
        <is>
          <t>S16</t>
        </is>
      </c>
      <c r="B20" s="7" t="inlineStr">
        <is>
          <t>윤선바이오</t>
        </is>
      </c>
      <c r="C20" s="7" t="inlineStr">
        <is>
          <t>신약을 개발하는 바이오 벤처예요. 임상 결과 발표 하나에 주가가 급변해요.</t>
        </is>
      </c>
      <c r="D20" s="9" t="inlineStr"/>
      <c r="E20" s="7" t="n">
        <v>1</v>
      </c>
      <c r="F20" s="7" t="n">
        <v>1900</v>
      </c>
      <c r="G20" s="7" t="n">
        <v>10400</v>
      </c>
      <c r="H20" s="7" t="n">
        <v>25300</v>
      </c>
      <c r="I20" s="7" t="n">
        <v>17900</v>
      </c>
      <c r="J20" s="7" t="n">
        <v>9900</v>
      </c>
      <c r="K20" s="7" t="n">
        <v>4100</v>
      </c>
    </row>
    <row r="21">
      <c r="A21" s="7" t="inlineStr">
        <is>
          <t>S17</t>
        </is>
      </c>
      <c r="B21" s="7" t="inlineStr">
        <is>
          <t>큐픽플랫폼</t>
        </is>
      </c>
      <c r="C21" s="7" t="inlineStr">
        <is>
          <t>중고 거래 플랫폼을 운영하는 IT 회사예요. 이용자는 많지만 아직 적자예요.</t>
        </is>
      </c>
      <c r="D21" s="9" t="inlineStr"/>
      <c r="E21" s="7" t="n">
        <v>1</v>
      </c>
      <c r="F21" s="7" t="n">
        <v>1800</v>
      </c>
      <c r="G21" s="7" t="n">
        <v>4700</v>
      </c>
      <c r="H21" s="7" t="n">
        <v>4600</v>
      </c>
      <c r="I21" s="7" t="n">
        <v>100</v>
      </c>
      <c r="J21" s="7" t="n">
        <v>1000</v>
      </c>
      <c r="K21" s="7" t="n">
        <v>4000</v>
      </c>
    </row>
    <row r="22">
      <c r="A22" s="7" t="inlineStr">
        <is>
          <t>S18</t>
        </is>
      </c>
      <c r="B22" s="7" t="inlineStr">
        <is>
          <t>하프케이</t>
        </is>
      </c>
      <c r="C22" s="7" t="inlineStr">
        <is>
          <t>여러 사업을 거느린 대형 지주회사예요. 주가가 비싸고 움직임이 묵직해요.</t>
        </is>
      </c>
      <c r="D22" s="9" t="inlineStr"/>
      <c r="E22" s="7" t="n">
        <v>1</v>
      </c>
      <c r="F22" s="7" t="n">
        <v>323000</v>
      </c>
      <c r="G22" s="7" t="n">
        <v>375600</v>
      </c>
      <c r="H22" s="7" t="n">
        <v>475500</v>
      </c>
      <c r="I22" s="7" t="n">
        <v>383900</v>
      </c>
      <c r="J22" s="7" t="n">
        <v>476900</v>
      </c>
      <c r="K22" s="7" t="n">
        <v>588100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3" customWidth="1" min="4" max="4"/>
    <col width="14" customWidth="1" min="5" max="5"/>
    <col width="12" customWidth="1" min="6" max="6"/>
    <col width="10" customWidth="1" min="7" max="7"/>
    <col width="11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③ 재무제표 (종목 × 연도)</t>
        </is>
      </c>
    </row>
    <row r="2">
      <c r="A2" s="5" t="inlineStr">
        <is>
          <t>한 행 = 한 종목의 한 해. 입력은 잎 7개(억원)만 — 자산·부채·자본·영업이익·당기순이익·부채비율·ROE는 자동 계산돼요. 미상장·폐지 연도는 행을 빼세요.</t>
        </is>
      </c>
    </row>
    <row r="4">
      <c r="A4" s="6" t="inlineStr">
        <is>
          <t>종목ID</t>
        </is>
      </c>
      <c r="B4" s="6" t="inlineStr">
        <is>
          <t>연도</t>
        </is>
      </c>
      <c r="C4" s="6" t="inlineStr">
        <is>
          <t>유동자산(억)</t>
        </is>
      </c>
      <c r="D4" s="6" t="inlineStr">
        <is>
          <t>비유동자산(억)</t>
        </is>
      </c>
      <c r="E4" s="6" t="inlineStr">
        <is>
          <t>유동부채(억)</t>
        </is>
      </c>
      <c r="F4" s="6" t="inlineStr">
        <is>
          <t>비유동부채(억)</t>
        </is>
      </c>
      <c r="G4" s="6" t="inlineStr">
        <is>
          <t>매출(억)</t>
        </is>
      </c>
      <c r="H4" s="6" t="inlineStr">
        <is>
          <t>영업비용(억)</t>
        </is>
      </c>
      <c r="I4" s="6" t="inlineStr">
        <is>
          <t>영업외비용(억)</t>
        </is>
      </c>
      <c r="J4" s="10" t="inlineStr">
        <is>
          <t>자산합계 ※자동</t>
        </is>
      </c>
      <c r="K4" s="10" t="inlineStr">
        <is>
          <t>부채합계 ※자동</t>
        </is>
      </c>
      <c r="L4" s="10" t="inlineStr">
        <is>
          <t>자본 ※자동</t>
        </is>
      </c>
      <c r="M4" s="10" t="inlineStr">
        <is>
          <t>영업이익 ※자동</t>
        </is>
      </c>
      <c r="N4" s="10" t="inlineStr">
        <is>
          <t>당기순이익 ※자동</t>
        </is>
      </c>
      <c r="O4" s="10" t="inlineStr">
        <is>
          <t>부채비율(%) ※자동</t>
        </is>
      </c>
      <c r="P4" s="10" t="inlineStr">
        <is>
          <t>ROE(%) ※자동</t>
        </is>
      </c>
    </row>
    <row r="5">
      <c r="A5" s="7" t="inlineStr">
        <is>
          <t>S01</t>
        </is>
      </c>
      <c r="B5" s="7" t="n">
        <v>2020</v>
      </c>
      <c r="C5" s="7" t="n">
        <v>27529</v>
      </c>
      <c r="D5" s="7" t="n">
        <v>27529</v>
      </c>
      <c r="E5" s="7" t="n">
        <v>10729</v>
      </c>
      <c r="F5" s="7" t="n">
        <v>16094</v>
      </c>
      <c r="G5" s="7" t="n">
        <v>38000</v>
      </c>
      <c r="H5" s="7" t="n">
        <v>34800</v>
      </c>
      <c r="I5" s="7" t="n">
        <v>800</v>
      </c>
      <c r="J5" s="11">
        <f>IF(C5="","",C5+D5)</f>
        <v/>
      </c>
      <c r="K5" s="11">
        <f>IF(E5="","",E5+F5)</f>
        <v/>
      </c>
      <c r="L5" s="11">
        <f>IF(J5="","",J5-K5)</f>
        <v/>
      </c>
      <c r="M5" s="11">
        <f>IF(G5="","",G5-H5)</f>
        <v/>
      </c>
      <c r="N5" s="11">
        <f>IF(M5="","",M5-I5)</f>
        <v/>
      </c>
      <c r="O5" s="11">
        <f>IF(OR(L5="",L5&lt;=0),"자본잠식",ROUND(K5/L5*100,1))</f>
        <v/>
      </c>
      <c r="P5" s="11">
        <f>IF(OR(L5="",L5&lt;=0),"—",ROUND(N5/L5*100,1))</f>
        <v/>
      </c>
    </row>
    <row r="6">
      <c r="A6" s="7" t="inlineStr">
        <is>
          <t>S01</t>
        </is>
      </c>
      <c r="B6" s="7" t="n">
        <v>2021</v>
      </c>
      <c r="C6" s="7" t="n">
        <v>29388</v>
      </c>
      <c r="D6" s="7" t="n">
        <v>29387</v>
      </c>
      <c r="E6" s="7" t="n">
        <v>11265</v>
      </c>
      <c r="F6" s="7" t="n">
        <v>16898</v>
      </c>
      <c r="G6" s="7" t="n">
        <v>40500</v>
      </c>
      <c r="H6" s="7" t="n">
        <v>36600</v>
      </c>
      <c r="I6" s="7" t="n">
        <v>900</v>
      </c>
      <c r="J6" s="11">
        <f>IF(C6="","",C6+D6)</f>
        <v/>
      </c>
      <c r="K6" s="11">
        <f>IF(E6="","",E6+F6)</f>
        <v/>
      </c>
      <c r="L6" s="11">
        <f>IF(J6="","",J6-K6)</f>
        <v/>
      </c>
      <c r="M6" s="11">
        <f>IF(G6="","",G6-H6)</f>
        <v/>
      </c>
      <c r="N6" s="11">
        <f>IF(M6="","",M6-I6)</f>
        <v/>
      </c>
      <c r="O6" s="11">
        <f>IF(OR(L6="",L6&lt;=0),"자본잠식",ROUND(K6/L6*100,1))</f>
        <v/>
      </c>
      <c r="P6" s="11">
        <f>IF(OR(L6="",L6&lt;=0),"—",ROUND(N6/L6*100,1))</f>
        <v/>
      </c>
    </row>
    <row r="7">
      <c r="A7" s="7" t="inlineStr">
        <is>
          <t>S01</t>
        </is>
      </c>
      <c r="B7" s="7" t="n">
        <v>2022</v>
      </c>
      <c r="C7" s="7" t="n">
        <v>30505</v>
      </c>
      <c r="D7" s="7" t="n">
        <v>30504</v>
      </c>
      <c r="E7" s="7" t="n">
        <v>11560</v>
      </c>
      <c r="F7" s="7" t="n">
        <v>17339</v>
      </c>
      <c r="G7" s="7" t="n">
        <v>43800</v>
      </c>
      <c r="H7" s="7" t="n">
        <v>39200</v>
      </c>
      <c r="I7" s="7" t="n">
        <v>1100</v>
      </c>
      <c r="J7" s="11">
        <f>IF(C7="","",C7+D7)</f>
        <v/>
      </c>
      <c r="K7" s="11">
        <f>IF(E7="","",E7+F7)</f>
        <v/>
      </c>
      <c r="L7" s="11">
        <f>IF(J7="","",J7-K7)</f>
        <v/>
      </c>
      <c r="M7" s="11">
        <f>IF(G7="","",G7-H7)</f>
        <v/>
      </c>
      <c r="N7" s="11">
        <f>IF(M7="","",M7-I7)</f>
        <v/>
      </c>
      <c r="O7" s="11">
        <f>IF(OR(L7="",L7&lt;=0),"자본잠식",ROUND(K7/L7*100,1))</f>
        <v/>
      </c>
      <c r="P7" s="11">
        <f>IF(OR(L7="",L7&lt;=0),"—",ROUND(N7/L7*100,1))</f>
        <v/>
      </c>
    </row>
    <row r="8">
      <c r="A8" s="7" t="inlineStr">
        <is>
          <t>S01</t>
        </is>
      </c>
      <c r="B8" s="7" t="n">
        <v>2023</v>
      </c>
      <c r="C8" s="7" t="n">
        <v>32204</v>
      </c>
      <c r="D8" s="7" t="n">
        <v>32203</v>
      </c>
      <c r="E8" s="7" t="n">
        <v>12059</v>
      </c>
      <c r="F8" s="7" t="n">
        <v>18089</v>
      </c>
      <c r="G8" s="7" t="n">
        <v>45200</v>
      </c>
      <c r="H8" s="7" t="n">
        <v>40400</v>
      </c>
      <c r="I8" s="7" t="n">
        <v>1100</v>
      </c>
      <c r="J8" s="11">
        <f>IF(C8="","",C8+D8)</f>
        <v/>
      </c>
      <c r="K8" s="11">
        <f>IF(E8="","",E8+F8)</f>
        <v/>
      </c>
      <c r="L8" s="11">
        <f>IF(J8="","",J8-K8)</f>
        <v/>
      </c>
      <c r="M8" s="11">
        <f>IF(G8="","",G8-H8)</f>
        <v/>
      </c>
      <c r="N8" s="11">
        <f>IF(M8="","",M8-I8)</f>
        <v/>
      </c>
      <c r="O8" s="11">
        <f>IF(OR(L8="",L8&lt;=0),"자본잠식",ROUND(K8/L8*100,1))</f>
        <v/>
      </c>
      <c r="P8" s="11">
        <f>IF(OR(L8="",L8&lt;=0),"—",ROUND(N8/L8*100,1))</f>
        <v/>
      </c>
    </row>
    <row r="9">
      <c r="A9" s="7" t="inlineStr">
        <is>
          <t>S01</t>
        </is>
      </c>
      <c r="B9" s="7" t="n">
        <v>2024</v>
      </c>
      <c r="C9" s="7" t="n">
        <v>33684</v>
      </c>
      <c r="D9" s="7" t="n">
        <v>33683</v>
      </c>
      <c r="E9" s="7" t="n">
        <v>12689</v>
      </c>
      <c r="F9" s="7" t="n">
        <v>19034</v>
      </c>
      <c r="G9" s="7" t="n">
        <v>45900</v>
      </c>
      <c r="H9" s="7" t="n">
        <v>41200</v>
      </c>
      <c r="I9" s="7" t="n">
        <v>1100</v>
      </c>
      <c r="J9" s="11">
        <f>IF(C9="","",C9+D9)</f>
        <v/>
      </c>
      <c r="K9" s="11">
        <f>IF(E9="","",E9+F9)</f>
        <v/>
      </c>
      <c r="L9" s="11">
        <f>IF(J9="","",J9-K9)</f>
        <v/>
      </c>
      <c r="M9" s="11">
        <f>IF(G9="","",G9-H9)</f>
        <v/>
      </c>
      <c r="N9" s="11">
        <f>IF(M9="","",M9-I9)</f>
        <v/>
      </c>
      <c r="O9" s="11">
        <f>IF(OR(L9="",L9&lt;=0),"자본잠식",ROUND(K9/L9*100,1))</f>
        <v/>
      </c>
      <c r="P9" s="11">
        <f>IF(OR(L9="",L9&lt;=0),"—",ROUND(N9/L9*100,1))</f>
        <v/>
      </c>
    </row>
    <row r="10">
      <c r="A10" s="7" t="inlineStr">
        <is>
          <t>S01</t>
        </is>
      </c>
      <c r="B10" s="7" t="n">
        <v>2025</v>
      </c>
      <c r="C10" s="7" t="n">
        <v>36653</v>
      </c>
      <c r="D10" s="7" t="n">
        <v>36652</v>
      </c>
      <c r="E10" s="7" t="n">
        <v>14878</v>
      </c>
      <c r="F10" s="7" t="n">
        <v>22316</v>
      </c>
      <c r="G10" s="7" t="n">
        <v>44100</v>
      </c>
      <c r="H10" s="7" t="n">
        <v>42000</v>
      </c>
      <c r="I10" s="7" t="n">
        <v>800</v>
      </c>
      <c r="J10" s="11">
        <f>IF(C10="","",C10+D10)</f>
        <v/>
      </c>
      <c r="K10" s="11">
        <f>IF(E10="","",E10+F10)</f>
        <v/>
      </c>
      <c r="L10" s="11">
        <f>IF(J10="","",J10-K10)</f>
        <v/>
      </c>
      <c r="M10" s="11">
        <f>IF(G10="","",G10-H10)</f>
        <v/>
      </c>
      <c r="N10" s="11">
        <f>IF(M10="","",M10-I10)</f>
        <v/>
      </c>
      <c r="O10" s="11">
        <f>IF(OR(L10="",L10&lt;=0),"자본잠식",ROUND(K10/L10*100,1))</f>
        <v/>
      </c>
      <c r="P10" s="11">
        <f>IF(OR(L10="",L10&lt;=0),"—",ROUND(N10/L10*100,1))</f>
        <v/>
      </c>
    </row>
    <row r="11">
      <c r="A11" s="7" t="inlineStr">
        <is>
          <t>S02</t>
        </is>
      </c>
      <c r="B11" s="7" t="n">
        <v>2020</v>
      </c>
      <c r="C11" s="7" t="n">
        <v>125827</v>
      </c>
      <c r="D11" s="7" t="n">
        <v>125826</v>
      </c>
      <c r="E11" s="7" t="n">
        <v>31240</v>
      </c>
      <c r="F11" s="7" t="n">
        <v>46859</v>
      </c>
      <c r="G11" s="7" t="n">
        <v>236000</v>
      </c>
      <c r="H11" s="7" t="n">
        <v>208000</v>
      </c>
      <c r="I11" s="7" t="n">
        <v>7000</v>
      </c>
      <c r="J11" s="11">
        <f>IF(C11="","",C11+D11)</f>
        <v/>
      </c>
      <c r="K11" s="11">
        <f>IF(E11="","",E11+F11)</f>
        <v/>
      </c>
      <c r="L11" s="11">
        <f>IF(J11="","",J11-K11)</f>
        <v/>
      </c>
      <c r="M11" s="11">
        <f>IF(G11="","",G11-H11)</f>
        <v/>
      </c>
      <c r="N11" s="11">
        <f>IF(M11="","",M11-I11)</f>
        <v/>
      </c>
      <c r="O11" s="11">
        <f>IF(OR(L11="",L11&lt;=0),"자본잠식",ROUND(K11/L11*100,1))</f>
        <v/>
      </c>
      <c r="P11" s="11">
        <f>IF(OR(L11="",L11&lt;=0),"—",ROUND(N11/L11*100,1))</f>
        <v/>
      </c>
    </row>
    <row r="12">
      <c r="A12" s="7" t="inlineStr">
        <is>
          <t>S02</t>
        </is>
      </c>
      <c r="B12" s="7" t="n">
        <v>2021</v>
      </c>
      <c r="C12" s="7" t="n">
        <v>137697</v>
      </c>
      <c r="D12" s="7" t="n">
        <v>137696</v>
      </c>
      <c r="E12" s="7" t="n">
        <v>32582</v>
      </c>
      <c r="F12" s="7" t="n">
        <v>48872</v>
      </c>
      <c r="G12" s="7" t="n">
        <v>268000</v>
      </c>
      <c r="H12" s="7" t="n">
        <v>227000</v>
      </c>
      <c r="I12" s="7" t="n">
        <v>9000</v>
      </c>
      <c r="J12" s="11">
        <f>IF(C12="","",C12+D12)</f>
        <v/>
      </c>
      <c r="K12" s="11">
        <f>IF(E12="","",E12+F12)</f>
        <v/>
      </c>
      <c r="L12" s="11">
        <f>IF(J12="","",J12-K12)</f>
        <v/>
      </c>
      <c r="M12" s="11">
        <f>IF(G12="","",G12-H12)</f>
        <v/>
      </c>
      <c r="N12" s="11">
        <f>IF(M12="","",M12-I12)</f>
        <v/>
      </c>
      <c r="O12" s="11">
        <f>IF(OR(L12="",L12&lt;=0),"자본잠식",ROUND(K12/L12*100,1))</f>
        <v/>
      </c>
      <c r="P12" s="11">
        <f>IF(OR(L12="",L12&lt;=0),"—",ROUND(N12/L12*100,1))</f>
        <v/>
      </c>
    </row>
    <row r="13">
      <c r="A13" s="7" t="inlineStr">
        <is>
          <t>S02</t>
        </is>
      </c>
      <c r="B13" s="7" t="n">
        <v>2022</v>
      </c>
      <c r="C13" s="7" t="n">
        <v>144971</v>
      </c>
      <c r="D13" s="7" t="n">
        <v>144970</v>
      </c>
      <c r="E13" s="7" t="n">
        <v>33136</v>
      </c>
      <c r="F13" s="7" t="n">
        <v>49704</v>
      </c>
      <c r="G13" s="7" t="n">
        <v>292000</v>
      </c>
      <c r="H13" s="7" t="n">
        <v>246000</v>
      </c>
      <c r="I13" s="7" t="n">
        <v>11000</v>
      </c>
      <c r="J13" s="11">
        <f>IF(C13="","",C13+D13)</f>
        <v/>
      </c>
      <c r="K13" s="11">
        <f>IF(E13="","",E13+F13)</f>
        <v/>
      </c>
      <c r="L13" s="11">
        <f>IF(J13="","",J13-K13)</f>
        <v/>
      </c>
      <c r="M13" s="11">
        <f>IF(G13="","",G13-H13)</f>
        <v/>
      </c>
      <c r="N13" s="11">
        <f>IF(M13="","",M13-I13)</f>
        <v/>
      </c>
      <c r="O13" s="11">
        <f>IF(OR(L13="",L13&lt;=0),"자본잠식",ROUND(K13/L13*100,1))</f>
        <v/>
      </c>
      <c r="P13" s="11">
        <f>IF(OR(L13="",L13&lt;=0),"—",ROUND(N13/L13*100,1))</f>
        <v/>
      </c>
    </row>
    <row r="14">
      <c r="A14" s="7" t="inlineStr">
        <is>
          <t>S02</t>
        </is>
      </c>
      <c r="B14" s="7" t="n">
        <v>2023</v>
      </c>
      <c r="C14" s="7" t="n">
        <v>151938</v>
      </c>
      <c r="D14" s="7" t="n">
        <v>151937</v>
      </c>
      <c r="E14" s="7" t="n">
        <v>36550</v>
      </c>
      <c r="F14" s="7" t="n">
        <v>54825</v>
      </c>
      <c r="G14" s="7" t="n">
        <v>245000</v>
      </c>
      <c r="H14" s="7" t="n">
        <v>235500</v>
      </c>
      <c r="I14" s="7" t="n">
        <v>2700</v>
      </c>
      <c r="J14" s="11">
        <f>IF(C14="","",C14+D14)</f>
        <v/>
      </c>
      <c r="K14" s="11">
        <f>IF(E14="","",E14+F14)</f>
        <v/>
      </c>
      <c r="L14" s="11">
        <f>IF(J14="","",J14-K14)</f>
        <v/>
      </c>
      <c r="M14" s="11">
        <f>IF(G14="","",G14-H14)</f>
        <v/>
      </c>
      <c r="N14" s="11">
        <f>IF(M14="","",M14-I14)</f>
        <v/>
      </c>
      <c r="O14" s="11">
        <f>IF(OR(L14="",L14&lt;=0),"자본잠식",ROUND(K14/L14*100,1))</f>
        <v/>
      </c>
      <c r="P14" s="11">
        <f>IF(OR(L14="",L14&lt;=0),"—",ROUND(N14/L14*100,1))</f>
        <v/>
      </c>
    </row>
    <row r="15">
      <c r="A15" s="7" t="inlineStr">
        <is>
          <t>S02</t>
        </is>
      </c>
      <c r="B15" s="7" t="n">
        <v>2024</v>
      </c>
      <c r="C15" s="7" t="n">
        <v>159727</v>
      </c>
      <c r="D15" s="7" t="n">
        <v>159727</v>
      </c>
      <c r="E15" s="7" t="n">
        <v>37156</v>
      </c>
      <c r="F15" s="7" t="n">
        <v>55735</v>
      </c>
      <c r="G15" s="7" t="n">
        <v>289000</v>
      </c>
      <c r="H15" s="7" t="n">
        <v>251000</v>
      </c>
      <c r="I15" s="7" t="n">
        <v>9000</v>
      </c>
      <c r="J15" s="11">
        <f>IF(C15="","",C15+D15)</f>
        <v/>
      </c>
      <c r="K15" s="11">
        <f>IF(E15="","",E15+F15)</f>
        <v/>
      </c>
      <c r="L15" s="11">
        <f>IF(J15="","",J15-K15)</f>
        <v/>
      </c>
      <c r="M15" s="11">
        <f>IF(G15="","",G15-H15)</f>
        <v/>
      </c>
      <c r="N15" s="11">
        <f>IF(M15="","",M15-I15)</f>
        <v/>
      </c>
      <c r="O15" s="11">
        <f>IF(OR(L15="",L15&lt;=0),"자본잠식",ROUND(K15/L15*100,1))</f>
        <v/>
      </c>
      <c r="P15" s="11">
        <f>IF(OR(L15="",L15&lt;=0),"—",ROUND(N15/L15*100,1))</f>
        <v/>
      </c>
    </row>
    <row r="16">
      <c r="A16" s="7" t="inlineStr">
        <is>
          <t>S02</t>
        </is>
      </c>
      <c r="B16" s="7" t="n">
        <v>2025</v>
      </c>
      <c r="C16" s="7" t="n">
        <v>177070</v>
      </c>
      <c r="D16" s="7" t="n">
        <v>177070</v>
      </c>
      <c r="E16" s="7" t="n">
        <v>39745</v>
      </c>
      <c r="F16" s="7" t="n">
        <v>59618</v>
      </c>
      <c r="G16" s="7" t="n">
        <v>331000</v>
      </c>
      <c r="H16" s="7" t="n">
        <v>279000</v>
      </c>
      <c r="I16" s="7" t="n">
        <v>12000</v>
      </c>
      <c r="J16" s="11">
        <f>IF(C16="","",C16+D16)</f>
        <v/>
      </c>
      <c r="K16" s="11">
        <f>IF(E16="","",E16+F16)</f>
        <v/>
      </c>
      <c r="L16" s="11">
        <f>IF(J16="","",J16-K16)</f>
        <v/>
      </c>
      <c r="M16" s="11">
        <f>IF(G16="","",G16-H16)</f>
        <v/>
      </c>
      <c r="N16" s="11">
        <f>IF(M16="","",M16-I16)</f>
        <v/>
      </c>
      <c r="O16" s="11">
        <f>IF(OR(L16="",L16&lt;=0),"자본잠식",ROUND(K16/L16*100,1))</f>
        <v/>
      </c>
      <c r="P16" s="11">
        <f>IF(OR(L16="",L16&lt;=0),"—",ROUND(N16/L16*100,1))</f>
        <v/>
      </c>
    </row>
    <row r="17">
      <c r="A17" s="7" t="inlineStr">
        <is>
          <t>S03</t>
        </is>
      </c>
      <c r="B17" s="7" t="n">
        <v>2020</v>
      </c>
      <c r="C17" s="7" t="n">
        <v>9643</v>
      </c>
      <c r="D17" s="7" t="n">
        <v>9643</v>
      </c>
      <c r="E17" s="7" t="n">
        <v>2000</v>
      </c>
      <c r="F17" s="7" t="n">
        <v>3000</v>
      </c>
      <c r="G17" s="7" t="n">
        <v>12400</v>
      </c>
      <c r="H17" s="7" t="n">
        <v>10300</v>
      </c>
      <c r="I17" s="7" t="n">
        <v>500</v>
      </c>
      <c r="J17" s="11">
        <f>IF(C17="","",C17+D17)</f>
        <v/>
      </c>
      <c r="K17" s="11">
        <f>IF(E17="","",E17+F17)</f>
        <v/>
      </c>
      <c r="L17" s="11">
        <f>IF(J17="","",J17-K17)</f>
        <v/>
      </c>
      <c r="M17" s="11">
        <f>IF(G17="","",G17-H17)</f>
        <v/>
      </c>
      <c r="N17" s="11">
        <f>IF(M17="","",M17-I17)</f>
        <v/>
      </c>
      <c r="O17" s="11">
        <f>IF(OR(L17="",L17&lt;=0),"자본잠식",ROUND(K17/L17*100,1))</f>
        <v/>
      </c>
      <c r="P17" s="11">
        <f>IF(OR(L17="",L17&lt;=0),"—",ROUND(N17/L17*100,1))</f>
        <v/>
      </c>
    </row>
    <row r="18">
      <c r="A18" s="7" t="inlineStr">
        <is>
          <t>S03</t>
        </is>
      </c>
      <c r="B18" s="7" t="n">
        <v>2021</v>
      </c>
      <c r="C18" s="7" t="n">
        <v>10190</v>
      </c>
      <c r="D18" s="7" t="n">
        <v>10190</v>
      </c>
      <c r="E18" s="7" t="n">
        <v>2023</v>
      </c>
      <c r="F18" s="7" t="n">
        <v>3034</v>
      </c>
      <c r="G18" s="7" t="n">
        <v>13800</v>
      </c>
      <c r="H18" s="7" t="n">
        <v>11300</v>
      </c>
      <c r="I18" s="7" t="n">
        <v>600</v>
      </c>
      <c r="J18" s="11">
        <f>IF(C18="","",C18+D18)</f>
        <v/>
      </c>
      <c r="K18" s="11">
        <f>IF(E18="","",E18+F18)</f>
        <v/>
      </c>
      <c r="L18" s="11">
        <f>IF(J18="","",J18-K18)</f>
        <v/>
      </c>
      <c r="M18" s="11">
        <f>IF(G18="","",G18-H18)</f>
        <v/>
      </c>
      <c r="N18" s="11">
        <f>IF(M18="","",M18-I18)</f>
        <v/>
      </c>
      <c r="O18" s="11">
        <f>IF(OR(L18="",L18&lt;=0),"자본잠식",ROUND(K18/L18*100,1))</f>
        <v/>
      </c>
      <c r="P18" s="11">
        <f>IF(OR(L18="",L18&lt;=0),"—",ROUND(N18/L18*100,1))</f>
        <v/>
      </c>
    </row>
    <row r="19">
      <c r="A19" s="7" t="inlineStr">
        <is>
          <t>S03</t>
        </is>
      </c>
      <c r="B19" s="7" t="n">
        <v>2022</v>
      </c>
      <c r="C19" s="7" t="n">
        <v>10746</v>
      </c>
      <c r="D19" s="7" t="n">
        <v>10745</v>
      </c>
      <c r="E19" s="7" t="n">
        <v>2181</v>
      </c>
      <c r="F19" s="7" t="n">
        <v>3272</v>
      </c>
      <c r="G19" s="7" t="n">
        <v>13200</v>
      </c>
      <c r="H19" s="7" t="n">
        <v>11000</v>
      </c>
      <c r="I19" s="7" t="n">
        <v>500</v>
      </c>
      <c r="J19" s="11">
        <f>IF(C19="","",C19+D19)</f>
        <v/>
      </c>
      <c r="K19" s="11">
        <f>IF(E19="","",E19+F19)</f>
        <v/>
      </c>
      <c r="L19" s="11">
        <f>IF(J19="","",J19-K19)</f>
        <v/>
      </c>
      <c r="M19" s="11">
        <f>IF(G19="","",G19-H19)</f>
        <v/>
      </c>
      <c r="N19" s="11">
        <f>IF(M19="","",M19-I19)</f>
        <v/>
      </c>
      <c r="O19" s="11">
        <f>IF(OR(L19="",L19&lt;=0),"자본잠식",ROUND(K19/L19*100,1))</f>
        <v/>
      </c>
      <c r="P19" s="11">
        <f>IF(OR(L19="",L19&lt;=0),"—",ROUND(N19/L19*100,1))</f>
        <v/>
      </c>
    </row>
    <row r="20">
      <c r="A20" s="7" t="inlineStr">
        <is>
          <t>S03</t>
        </is>
      </c>
      <c r="B20" s="7" t="n">
        <v>2023</v>
      </c>
      <c r="C20" s="7" t="n">
        <v>11045</v>
      </c>
      <c r="D20" s="7" t="n">
        <v>11044</v>
      </c>
      <c r="E20" s="7" t="n">
        <v>2242</v>
      </c>
      <c r="F20" s="7" t="n">
        <v>3363</v>
      </c>
      <c r="G20" s="7" t="n">
        <v>12900</v>
      </c>
      <c r="H20" s="7" t="n">
        <v>10900</v>
      </c>
      <c r="I20" s="7" t="n">
        <v>500</v>
      </c>
      <c r="J20" s="11">
        <f>IF(C20="","",C20+D20)</f>
        <v/>
      </c>
      <c r="K20" s="11">
        <f>IF(E20="","",E20+F20)</f>
        <v/>
      </c>
      <c r="L20" s="11">
        <f>IF(J20="","",J20-K20)</f>
        <v/>
      </c>
      <c r="M20" s="11">
        <f>IF(G20="","",G20-H20)</f>
        <v/>
      </c>
      <c r="N20" s="11">
        <f>IF(M20="","",M20-I20)</f>
        <v/>
      </c>
      <c r="O20" s="11">
        <f>IF(OR(L20="",L20&lt;=0),"자본잠식",ROUND(K20/L20*100,1))</f>
        <v/>
      </c>
      <c r="P20" s="11">
        <f>IF(OR(L20="",L20&lt;=0),"—",ROUND(N20/L20*100,1))</f>
        <v/>
      </c>
    </row>
    <row r="21">
      <c r="A21" s="7" t="inlineStr">
        <is>
          <t>S03</t>
        </is>
      </c>
      <c r="B21" s="7" t="n">
        <v>2024</v>
      </c>
      <c r="C21" s="7" t="n">
        <v>11534</v>
      </c>
      <c r="D21" s="7" t="n">
        <v>11534</v>
      </c>
      <c r="E21" s="7" t="n">
        <v>2237</v>
      </c>
      <c r="F21" s="7" t="n">
        <v>3355</v>
      </c>
      <c r="G21" s="7" t="n">
        <v>13600</v>
      </c>
      <c r="H21" s="7" t="n">
        <v>11300</v>
      </c>
      <c r="I21" s="7" t="n">
        <v>500</v>
      </c>
      <c r="J21" s="11">
        <f>IF(C21="","",C21+D21)</f>
        <v/>
      </c>
      <c r="K21" s="11">
        <f>IF(E21="","",E21+F21)</f>
        <v/>
      </c>
      <c r="L21" s="11">
        <f>IF(J21="","",J21-K21)</f>
        <v/>
      </c>
      <c r="M21" s="11">
        <f>IF(G21="","",G21-H21)</f>
        <v/>
      </c>
      <c r="N21" s="11">
        <f>IF(M21="","",M21-I21)</f>
        <v/>
      </c>
      <c r="O21" s="11">
        <f>IF(OR(L21="",L21&lt;=0),"자본잠식",ROUND(K21/L21*100,1))</f>
        <v/>
      </c>
      <c r="P21" s="11">
        <f>IF(OR(L21="",L21&lt;=0),"—",ROUND(N21/L21*100,1))</f>
        <v/>
      </c>
    </row>
    <row r="22">
      <c r="A22" s="7" t="inlineStr">
        <is>
          <t>S03</t>
        </is>
      </c>
      <c r="B22" s="7" t="n">
        <v>2025</v>
      </c>
      <c r="C22" s="7" t="n">
        <v>12094</v>
      </c>
      <c r="D22" s="7" t="n">
        <v>12093</v>
      </c>
      <c r="E22" s="7" t="n">
        <v>2233</v>
      </c>
      <c r="F22" s="7" t="n">
        <v>3349</v>
      </c>
      <c r="G22" s="7" t="n">
        <v>15900</v>
      </c>
      <c r="H22" s="7" t="n">
        <v>12800</v>
      </c>
      <c r="I22" s="7" t="n">
        <v>700</v>
      </c>
      <c r="J22" s="11">
        <f>IF(C22="","",C22+D22)</f>
        <v/>
      </c>
      <c r="K22" s="11">
        <f>IF(E22="","",E22+F22)</f>
        <v/>
      </c>
      <c r="L22" s="11">
        <f>IF(J22="","",J22-K22)</f>
        <v/>
      </c>
      <c r="M22" s="11">
        <f>IF(G22="","",G22-H22)</f>
        <v/>
      </c>
      <c r="N22" s="11">
        <f>IF(M22="","",M22-I22)</f>
        <v/>
      </c>
      <c r="O22" s="11">
        <f>IF(OR(L22="",L22&lt;=0),"자본잠식",ROUND(K22/L22*100,1))</f>
        <v/>
      </c>
      <c r="P22" s="11">
        <f>IF(OR(L22="",L22&lt;=0),"—",ROUND(N22/L22*100,1))</f>
        <v/>
      </c>
    </row>
    <row r="23">
      <c r="A23" s="7" t="inlineStr">
        <is>
          <t>S04</t>
        </is>
      </c>
      <c r="B23" s="7" t="n">
        <v>2020</v>
      </c>
      <c r="C23" s="7" t="n">
        <v>84</v>
      </c>
      <c r="D23" s="7" t="n">
        <v>84</v>
      </c>
      <c r="E23" s="7" t="n">
        <v>43</v>
      </c>
      <c r="F23" s="7" t="n">
        <v>65</v>
      </c>
      <c r="G23" s="7" t="n">
        <v>120</v>
      </c>
      <c r="H23" s="7" t="n">
        <v>155</v>
      </c>
      <c r="I23" s="7" t="n">
        <v>5</v>
      </c>
      <c r="J23" s="11">
        <f>IF(C23="","",C23+D23)</f>
        <v/>
      </c>
      <c r="K23" s="11">
        <f>IF(E23="","",E23+F23)</f>
        <v/>
      </c>
      <c r="L23" s="11">
        <f>IF(J23="","",J23-K23)</f>
        <v/>
      </c>
      <c r="M23" s="11">
        <f>IF(G23="","",G23-H23)</f>
        <v/>
      </c>
      <c r="N23" s="11">
        <f>IF(M23="","",M23-I23)</f>
        <v/>
      </c>
      <c r="O23" s="11">
        <f>IF(OR(L23="",L23&lt;=0),"자본잠식",ROUND(K23/L23*100,1))</f>
        <v/>
      </c>
      <c r="P23" s="11">
        <f>IF(OR(L23="",L23&lt;=0),"—",ROUND(N23/L23*100,1))</f>
        <v/>
      </c>
    </row>
    <row r="24">
      <c r="A24" s="7" t="inlineStr">
        <is>
          <t>S04</t>
        </is>
      </c>
      <c r="B24" s="7" t="n">
        <v>2021</v>
      </c>
      <c r="C24" s="7" t="n">
        <v>250</v>
      </c>
      <c r="D24" s="7" t="n">
        <v>250</v>
      </c>
      <c r="E24" s="7" t="n">
        <v>120</v>
      </c>
      <c r="F24" s="7" t="n">
        <v>180</v>
      </c>
      <c r="G24" s="7" t="n">
        <v>310</v>
      </c>
      <c r="H24" s="7" t="n">
        <v>290</v>
      </c>
      <c r="I24" s="7" t="n">
        <v>8</v>
      </c>
      <c r="J24" s="11">
        <f>IF(C24="","",C24+D24)</f>
        <v/>
      </c>
      <c r="K24" s="11">
        <f>IF(E24="","",E24+F24)</f>
        <v/>
      </c>
      <c r="L24" s="11">
        <f>IF(J24="","",J24-K24)</f>
        <v/>
      </c>
      <c r="M24" s="11">
        <f>IF(G24="","",G24-H24)</f>
        <v/>
      </c>
      <c r="N24" s="11">
        <f>IF(M24="","",M24-I24)</f>
        <v/>
      </c>
      <c r="O24" s="11">
        <f>IF(OR(L24="",L24&lt;=0),"자본잠식",ROUND(K24/L24*100,1))</f>
        <v/>
      </c>
      <c r="P24" s="11">
        <f>IF(OR(L24="",L24&lt;=0),"—",ROUND(N24/L24*100,1))</f>
        <v/>
      </c>
    </row>
    <row r="25">
      <c r="A25" s="7" t="inlineStr">
        <is>
          <t>S04</t>
        </is>
      </c>
      <c r="B25" s="7" t="n">
        <v>2022</v>
      </c>
      <c r="C25" s="7" t="n">
        <v>1751</v>
      </c>
      <c r="D25" s="7" t="n">
        <v>1750</v>
      </c>
      <c r="E25" s="7" t="n">
        <v>525</v>
      </c>
      <c r="F25" s="7" t="n">
        <v>788</v>
      </c>
      <c r="G25" s="7" t="n">
        <v>2850</v>
      </c>
      <c r="H25" s="7" t="n">
        <v>1500</v>
      </c>
      <c r="I25" s="7" t="n">
        <v>300</v>
      </c>
      <c r="J25" s="11">
        <f>IF(C25="","",C25+D25)</f>
        <v/>
      </c>
      <c r="K25" s="11">
        <f>IF(E25="","",E25+F25)</f>
        <v/>
      </c>
      <c r="L25" s="11">
        <f>IF(J25="","",J25-K25)</f>
        <v/>
      </c>
      <c r="M25" s="11">
        <f>IF(G25="","",G25-H25)</f>
        <v/>
      </c>
      <c r="N25" s="11">
        <f>IF(M25="","",M25-I25)</f>
        <v/>
      </c>
      <c r="O25" s="11">
        <f>IF(OR(L25="",L25&lt;=0),"자본잠식",ROUND(K25/L25*100,1))</f>
        <v/>
      </c>
      <c r="P25" s="11">
        <f>IF(OR(L25="",L25&lt;=0),"—",ROUND(N25/L25*100,1))</f>
        <v/>
      </c>
    </row>
    <row r="26">
      <c r="A26" s="7" t="inlineStr">
        <is>
          <t>S04</t>
        </is>
      </c>
      <c r="B26" s="7" t="n">
        <v>2023</v>
      </c>
      <c r="C26" s="7" t="n">
        <v>2144</v>
      </c>
      <c r="D26" s="7" t="n">
        <v>2143</v>
      </c>
      <c r="E26" s="7" t="n">
        <v>706</v>
      </c>
      <c r="F26" s="7" t="n">
        <v>1059</v>
      </c>
      <c r="G26" s="7" t="n">
        <v>1420</v>
      </c>
      <c r="H26" s="7" t="n">
        <v>1040</v>
      </c>
      <c r="I26" s="7" t="n">
        <v>90</v>
      </c>
      <c r="J26" s="11">
        <f>IF(C26="","",C26+D26)</f>
        <v/>
      </c>
      <c r="K26" s="11">
        <f>IF(E26="","",E26+F26)</f>
        <v/>
      </c>
      <c r="L26" s="11">
        <f>IF(J26="","",J26-K26)</f>
        <v/>
      </c>
      <c r="M26" s="11">
        <f>IF(G26="","",G26-H26)</f>
        <v/>
      </c>
      <c r="N26" s="11">
        <f>IF(M26="","",M26-I26)</f>
        <v/>
      </c>
      <c r="O26" s="11">
        <f>IF(OR(L26="",L26&lt;=0),"자본잠식",ROUND(K26/L26*100,1))</f>
        <v/>
      </c>
      <c r="P26" s="11">
        <f>IF(OR(L26="",L26&lt;=0),"—",ROUND(N26/L26*100,1))</f>
        <v/>
      </c>
    </row>
    <row r="27">
      <c r="A27" s="7" t="inlineStr">
        <is>
          <t>S04</t>
        </is>
      </c>
      <c r="B27" s="7" t="n">
        <v>2024</v>
      </c>
      <c r="C27" s="7" t="n">
        <v>2316</v>
      </c>
      <c r="D27" s="7" t="n">
        <v>2316</v>
      </c>
      <c r="E27" s="7" t="n">
        <v>794</v>
      </c>
      <c r="F27" s="7" t="n">
        <v>1191</v>
      </c>
      <c r="G27" s="7" t="n">
        <v>1180</v>
      </c>
      <c r="H27" s="7" t="n">
        <v>940</v>
      </c>
      <c r="I27" s="7" t="n">
        <v>60</v>
      </c>
      <c r="J27" s="11">
        <f>IF(C27="","",C27+D27)</f>
        <v/>
      </c>
      <c r="K27" s="11">
        <f>IF(E27="","",E27+F27)</f>
        <v/>
      </c>
      <c r="L27" s="11">
        <f>IF(J27="","",J27-K27)</f>
        <v/>
      </c>
      <c r="M27" s="11">
        <f>IF(G27="","",G27-H27)</f>
        <v/>
      </c>
      <c r="N27" s="11">
        <f>IF(M27="","",M27-I27)</f>
        <v/>
      </c>
      <c r="O27" s="11">
        <f>IF(OR(L27="",L27&lt;=0),"자본잠식",ROUND(K27/L27*100,1))</f>
        <v/>
      </c>
      <c r="P27" s="11">
        <f>IF(OR(L27="",L27&lt;=0),"—",ROUND(N27/L27*100,1))</f>
        <v/>
      </c>
    </row>
    <row r="28">
      <c r="A28" s="7" t="inlineStr">
        <is>
          <t>S04</t>
        </is>
      </c>
      <c r="B28" s="7" t="n">
        <v>2025</v>
      </c>
      <c r="C28" s="7" t="n">
        <v>2434</v>
      </c>
      <c r="D28" s="7" t="n">
        <v>2434</v>
      </c>
      <c r="E28" s="7" t="n">
        <v>767</v>
      </c>
      <c r="F28" s="7" t="n">
        <v>1151</v>
      </c>
      <c r="G28" s="7" t="n">
        <v>1650</v>
      </c>
      <c r="H28" s="7" t="n">
        <v>1130</v>
      </c>
      <c r="I28" s="7" t="n">
        <v>110</v>
      </c>
      <c r="J28" s="11">
        <f>IF(C28="","",C28+D28)</f>
        <v/>
      </c>
      <c r="K28" s="11">
        <f>IF(E28="","",E28+F28)</f>
        <v/>
      </c>
      <c r="L28" s="11">
        <f>IF(J28="","",J28-K28)</f>
        <v/>
      </c>
      <c r="M28" s="11">
        <f>IF(G28="","",G28-H28)</f>
        <v/>
      </c>
      <c r="N28" s="11">
        <f>IF(M28="","",M28-I28)</f>
        <v/>
      </c>
      <c r="O28" s="11">
        <f>IF(OR(L28="",L28&lt;=0),"자본잠식",ROUND(K28/L28*100,1))</f>
        <v/>
      </c>
      <c r="P28" s="11">
        <f>IF(OR(L28="",L28&lt;=0),"—",ROUND(N28/L28*100,1))</f>
        <v/>
      </c>
    </row>
    <row r="29">
      <c r="A29" s="7" t="inlineStr">
        <is>
          <t>S05</t>
        </is>
      </c>
      <c r="B29" s="7" t="n">
        <v>2020</v>
      </c>
      <c r="C29" s="7" t="n">
        <v>24001</v>
      </c>
      <c r="D29" s="7" t="n">
        <v>24001</v>
      </c>
      <c r="E29" s="7" t="n">
        <v>14629</v>
      </c>
      <c r="F29" s="7" t="n">
        <v>21944</v>
      </c>
      <c r="G29" s="7" t="n">
        <v>8900</v>
      </c>
      <c r="H29" s="7" t="n">
        <v>6800</v>
      </c>
      <c r="I29" s="7" t="n">
        <v>500</v>
      </c>
      <c r="J29" s="11">
        <f>IF(C29="","",C29+D29)</f>
        <v/>
      </c>
      <c r="K29" s="11">
        <f>IF(E29="","",E29+F29)</f>
        <v/>
      </c>
      <c r="L29" s="11">
        <f>IF(J29="","",J29-K29)</f>
        <v/>
      </c>
      <c r="M29" s="11">
        <f>IF(G29="","",G29-H29)</f>
        <v/>
      </c>
      <c r="N29" s="11">
        <f>IF(M29="","",M29-I29)</f>
        <v/>
      </c>
      <c r="O29" s="11">
        <f>IF(OR(L29="",L29&lt;=0),"자본잠식",ROUND(K29/L29*100,1))</f>
        <v/>
      </c>
      <c r="P29" s="11">
        <f>IF(OR(L29="",L29&lt;=0),"—",ROUND(N29/L29*100,1))</f>
        <v/>
      </c>
    </row>
    <row r="30">
      <c r="A30" s="7" t="inlineStr">
        <is>
          <t>S05</t>
        </is>
      </c>
      <c r="B30" s="7" t="n">
        <v>2021</v>
      </c>
      <c r="C30" s="7" t="n">
        <v>38510</v>
      </c>
      <c r="D30" s="7" t="n">
        <v>38510</v>
      </c>
      <c r="E30" s="7" t="n">
        <v>24767</v>
      </c>
      <c r="F30" s="7" t="n">
        <v>37151</v>
      </c>
      <c r="G30" s="7" t="n">
        <v>14200</v>
      </c>
      <c r="H30" s="7" t="n">
        <v>9400</v>
      </c>
      <c r="I30" s="7" t="n">
        <v>1100</v>
      </c>
      <c r="J30" s="11">
        <f>IF(C30="","",C30+D30)</f>
        <v/>
      </c>
      <c r="K30" s="11">
        <f>IF(E30="","",E30+F30)</f>
        <v/>
      </c>
      <c r="L30" s="11">
        <f>IF(J30="","",J30-K30)</f>
        <v/>
      </c>
      <c r="M30" s="11">
        <f>IF(G30="","",G30-H30)</f>
        <v/>
      </c>
      <c r="N30" s="11">
        <f>IF(M30="","",M30-I30)</f>
        <v/>
      </c>
      <c r="O30" s="11">
        <f>IF(OR(L30="",L30&lt;=0),"자본잠식",ROUND(K30/L30*100,1))</f>
        <v/>
      </c>
      <c r="P30" s="11">
        <f>IF(OR(L30="",L30&lt;=0),"—",ROUND(N30/L30*100,1))</f>
        <v/>
      </c>
    </row>
    <row r="31">
      <c r="A31" s="7" t="inlineStr">
        <is>
          <t>S05</t>
        </is>
      </c>
      <c r="B31" s="7" t="n">
        <v>2022</v>
      </c>
      <c r="C31" s="7" t="n">
        <v>62967</v>
      </c>
      <c r="D31" s="7" t="n">
        <v>62966</v>
      </c>
      <c r="E31" s="7" t="n">
        <v>42502</v>
      </c>
      <c r="F31" s="7" t="n">
        <v>63754</v>
      </c>
      <c r="G31" s="7" t="n">
        <v>21500</v>
      </c>
      <c r="H31" s="7" t="n">
        <v>13600</v>
      </c>
      <c r="I31" s="7" t="n">
        <v>1800</v>
      </c>
      <c r="J31" s="11">
        <f>IF(C31="","",C31+D31)</f>
        <v/>
      </c>
      <c r="K31" s="11">
        <f>IF(E31="","",E31+F31)</f>
        <v/>
      </c>
      <c r="L31" s="11">
        <f>IF(J31="","",J31-K31)</f>
        <v/>
      </c>
      <c r="M31" s="11">
        <f>IF(G31="","",G31-H31)</f>
        <v/>
      </c>
      <c r="N31" s="11">
        <f>IF(M31="","",M31-I31)</f>
        <v/>
      </c>
      <c r="O31" s="11">
        <f>IF(OR(L31="",L31&lt;=0),"자본잠식",ROUND(K31/L31*100,1))</f>
        <v/>
      </c>
      <c r="P31" s="11">
        <f>IF(OR(L31="",L31&lt;=0),"—",ROUND(N31/L31*100,1))</f>
        <v/>
      </c>
    </row>
    <row r="32">
      <c r="A32" s="7" t="inlineStr">
        <is>
          <t>S05</t>
        </is>
      </c>
      <c r="B32" s="7" t="n">
        <v>2023</v>
      </c>
      <c r="C32" s="7" t="n">
        <v>24255</v>
      </c>
      <c r="D32" s="7" t="n">
        <v>24255</v>
      </c>
      <c r="E32" s="7" t="n">
        <v>17444</v>
      </c>
      <c r="F32" s="7" t="n">
        <v>26166</v>
      </c>
      <c r="G32" s="7" t="n">
        <v>9800</v>
      </c>
      <c r="H32" s="7" t="n">
        <v>15000</v>
      </c>
      <c r="I32" s="7" t="n">
        <v>1600</v>
      </c>
      <c r="J32" s="11">
        <f>IF(C32="","",C32+D32)</f>
        <v/>
      </c>
      <c r="K32" s="11">
        <f>IF(E32="","",E32+F32)</f>
        <v/>
      </c>
      <c r="L32" s="11">
        <f>IF(J32="","",J32-K32)</f>
        <v/>
      </c>
      <c r="M32" s="11">
        <f>IF(G32="","",G32-H32)</f>
        <v/>
      </c>
      <c r="N32" s="11">
        <f>IF(M32="","",M32-I32)</f>
        <v/>
      </c>
      <c r="O32" s="11">
        <f>IF(OR(L32="",L32&lt;=0),"자본잠식",ROUND(K32/L32*100,1))</f>
        <v/>
      </c>
      <c r="P32" s="11">
        <f>IF(OR(L32="",L32&lt;=0),"—",ROUND(N32/L32*100,1))</f>
        <v/>
      </c>
    </row>
    <row r="33">
      <c r="A33" s="7" t="inlineStr">
        <is>
          <t>S06</t>
        </is>
      </c>
      <c r="B33" s="7" t="n">
        <v>2020</v>
      </c>
      <c r="C33" s="7" t="n">
        <v>659</v>
      </c>
      <c r="D33" s="7" t="n">
        <v>659</v>
      </c>
      <c r="E33" s="7" t="n">
        <v>357</v>
      </c>
      <c r="F33" s="7" t="n">
        <v>536</v>
      </c>
      <c r="G33" s="7" t="n">
        <v>850</v>
      </c>
      <c r="H33" s="7" t="n">
        <v>1270</v>
      </c>
      <c r="I33" s="7" t="n">
        <v>60</v>
      </c>
      <c r="J33" s="11">
        <f>IF(C33="","",C33+D33)</f>
        <v/>
      </c>
      <c r="K33" s="11">
        <f>IF(E33="","",E33+F33)</f>
        <v/>
      </c>
      <c r="L33" s="11">
        <f>IF(J33="","",J33-K33)</f>
        <v/>
      </c>
      <c r="M33" s="11">
        <f>IF(G33="","",G33-H33)</f>
        <v/>
      </c>
      <c r="N33" s="11">
        <f>IF(M33="","",M33-I33)</f>
        <v/>
      </c>
      <c r="O33" s="11">
        <f>IF(OR(L33="",L33&lt;=0),"자본잠식",ROUND(K33/L33*100,1))</f>
        <v/>
      </c>
      <c r="P33" s="11">
        <f>IF(OR(L33="",L33&lt;=0),"—",ROUND(N33/L33*100,1))</f>
        <v/>
      </c>
    </row>
    <row r="34">
      <c r="A34" s="7" t="inlineStr">
        <is>
          <t>S06</t>
        </is>
      </c>
      <c r="B34" s="7" t="n">
        <v>2021</v>
      </c>
      <c r="C34" s="7" t="n">
        <v>2160</v>
      </c>
      <c r="D34" s="7" t="n">
        <v>2160</v>
      </c>
      <c r="E34" s="7" t="n">
        <v>1248</v>
      </c>
      <c r="F34" s="7" t="n">
        <v>1872</v>
      </c>
      <c r="G34" s="7" t="n">
        <v>2400</v>
      </c>
      <c r="H34" s="7" t="n">
        <v>3080</v>
      </c>
      <c r="I34" s="7" t="n">
        <v>70</v>
      </c>
      <c r="J34" s="11">
        <f>IF(C34="","",C34+D34)</f>
        <v/>
      </c>
      <c r="K34" s="11">
        <f>IF(E34="","",E34+F34)</f>
        <v/>
      </c>
      <c r="L34" s="11">
        <f>IF(J34="","",J34-K34)</f>
        <v/>
      </c>
      <c r="M34" s="11">
        <f>IF(G34="","",G34-H34)</f>
        <v/>
      </c>
      <c r="N34" s="11">
        <f>IF(M34="","",M34-I34)</f>
        <v/>
      </c>
      <c r="O34" s="11">
        <f>IF(OR(L34="",L34&lt;=0),"자본잠식",ROUND(K34/L34*100,1))</f>
        <v/>
      </c>
      <c r="P34" s="11">
        <f>IF(OR(L34="",L34&lt;=0),"—",ROUND(N34/L34*100,1))</f>
        <v/>
      </c>
    </row>
    <row r="35">
      <c r="A35" s="7" t="inlineStr">
        <is>
          <t>S06</t>
        </is>
      </c>
      <c r="B35" s="7" t="n">
        <v>2022</v>
      </c>
      <c r="C35" s="7" t="n">
        <v>3480</v>
      </c>
      <c r="D35" s="7" t="n">
        <v>3480</v>
      </c>
      <c r="E35" s="7" t="n">
        <v>2204</v>
      </c>
      <c r="F35" s="7" t="n">
        <v>3306</v>
      </c>
      <c r="G35" s="7" t="n">
        <v>2900</v>
      </c>
      <c r="H35" s="7" t="n">
        <v>4000</v>
      </c>
      <c r="I35" s="7" t="n">
        <v>150</v>
      </c>
      <c r="J35" s="11">
        <f>IF(C35="","",C35+D35)</f>
        <v/>
      </c>
      <c r="K35" s="11">
        <f>IF(E35="","",E35+F35)</f>
        <v/>
      </c>
      <c r="L35" s="11">
        <f>IF(J35="","",J35-K35)</f>
        <v/>
      </c>
      <c r="M35" s="11">
        <f>IF(G35="","",G35-H35)</f>
        <v/>
      </c>
      <c r="N35" s="11">
        <f>IF(M35="","",M35-I35)</f>
        <v/>
      </c>
      <c r="O35" s="11">
        <f>IF(OR(L35="",L35&lt;=0),"자본잠식",ROUND(K35/L35*100,1))</f>
        <v/>
      </c>
      <c r="P35" s="11">
        <f>IF(OR(L35="",L35&lt;=0),"—",ROUND(N35/L35*100,1))</f>
        <v/>
      </c>
    </row>
    <row r="36">
      <c r="A36" s="7" t="inlineStr">
        <is>
          <t>S06</t>
        </is>
      </c>
      <c r="B36" s="7" t="n">
        <v>2023</v>
      </c>
      <c r="C36" s="7" t="n">
        <v>3255</v>
      </c>
      <c r="D36" s="7" t="n">
        <v>3255</v>
      </c>
      <c r="E36" s="7" t="n">
        <v>2184</v>
      </c>
      <c r="F36" s="7" t="n">
        <v>3276</v>
      </c>
      <c r="G36" s="7" t="n">
        <v>2100</v>
      </c>
      <c r="H36" s="7" t="n">
        <v>3050</v>
      </c>
      <c r="I36" s="7" t="n">
        <v>130</v>
      </c>
      <c r="J36" s="11">
        <f>IF(C36="","",C36+D36)</f>
        <v/>
      </c>
      <c r="K36" s="11">
        <f>IF(E36="","",E36+F36)</f>
        <v/>
      </c>
      <c r="L36" s="11">
        <f>IF(J36="","",J36-K36)</f>
        <v/>
      </c>
      <c r="M36" s="11">
        <f>IF(G36="","",G36-H36)</f>
        <v/>
      </c>
      <c r="N36" s="11">
        <f>IF(M36="","",M36-I36)</f>
        <v/>
      </c>
      <c r="O36" s="11">
        <f>IF(OR(L36="",L36&lt;=0),"자본잠식",ROUND(K36/L36*100,1))</f>
        <v/>
      </c>
      <c r="P36" s="11">
        <f>IF(OR(L36="",L36&lt;=0),"—",ROUND(N36/L36*100,1))</f>
        <v/>
      </c>
    </row>
    <row r="37">
      <c r="A37" s="7" t="inlineStr">
        <is>
          <t>S06</t>
        </is>
      </c>
      <c r="B37" s="7" t="n">
        <v>2024</v>
      </c>
      <c r="C37" s="7" t="n">
        <v>2640</v>
      </c>
      <c r="D37" s="7" t="n">
        <v>2640</v>
      </c>
      <c r="E37" s="7" t="n">
        <v>1872</v>
      </c>
      <c r="F37" s="7" t="n">
        <v>2808</v>
      </c>
      <c r="G37" s="7" t="n">
        <v>1200</v>
      </c>
      <c r="H37" s="7" t="n">
        <v>1900</v>
      </c>
      <c r="I37" s="7" t="n">
        <v>120</v>
      </c>
      <c r="J37" s="11">
        <f>IF(C37="","",C37+D37)</f>
        <v/>
      </c>
      <c r="K37" s="11">
        <f>IF(E37="","",E37+F37)</f>
        <v/>
      </c>
      <c r="L37" s="11">
        <f>IF(J37="","",J37-K37)</f>
        <v/>
      </c>
      <c r="M37" s="11">
        <f>IF(G37="","",G37-H37)</f>
        <v/>
      </c>
      <c r="N37" s="11">
        <f>IF(M37="","",M37-I37)</f>
        <v/>
      </c>
      <c r="O37" s="11">
        <f>IF(OR(L37="",L37&lt;=0),"자본잠식",ROUND(K37/L37*100,1))</f>
        <v/>
      </c>
      <c r="P37" s="11">
        <f>IF(OR(L37="",L37&lt;=0),"—",ROUND(N37/L37*100,1))</f>
        <v/>
      </c>
    </row>
    <row r="38">
      <c r="A38" s="7" t="inlineStr">
        <is>
          <t>S07</t>
        </is>
      </c>
      <c r="B38" s="7" t="n">
        <v>2020</v>
      </c>
      <c r="C38" s="7" t="n">
        <v>3069</v>
      </c>
      <c r="D38" s="7" t="n">
        <v>3069</v>
      </c>
      <c r="E38" s="7" t="n">
        <v>1286</v>
      </c>
      <c r="F38" s="7" t="n">
        <v>1929</v>
      </c>
      <c r="G38" s="7" t="n">
        <v>4200</v>
      </c>
      <c r="H38" s="7" t="n">
        <v>3940</v>
      </c>
      <c r="I38" s="7" t="n">
        <v>70</v>
      </c>
      <c r="J38" s="11">
        <f>IF(C38="","",C38+D38)</f>
        <v/>
      </c>
      <c r="K38" s="11">
        <f>IF(E38="","",E38+F38)</f>
        <v/>
      </c>
      <c r="L38" s="11">
        <f>IF(J38="","",J38-K38)</f>
        <v/>
      </c>
      <c r="M38" s="11">
        <f>IF(G38="","",G38-H38)</f>
        <v/>
      </c>
      <c r="N38" s="11">
        <f>IF(M38="","",M38-I38)</f>
        <v/>
      </c>
      <c r="O38" s="11">
        <f>IF(OR(L38="",L38&lt;=0),"자본잠식",ROUND(K38/L38*100,1))</f>
        <v/>
      </c>
      <c r="P38" s="11">
        <f>IF(OR(L38="",L38&lt;=0),"—",ROUND(N38/L38*100,1))</f>
        <v/>
      </c>
    </row>
    <row r="39">
      <c r="A39" s="7" t="inlineStr">
        <is>
          <t>S07</t>
        </is>
      </c>
      <c r="B39" s="7" t="n">
        <v>2021</v>
      </c>
      <c r="C39" s="7" t="n">
        <v>3147</v>
      </c>
      <c r="D39" s="7" t="n">
        <v>3146</v>
      </c>
      <c r="E39" s="7" t="n">
        <v>1346</v>
      </c>
      <c r="F39" s="7" t="n">
        <v>2020</v>
      </c>
      <c r="G39" s="7" t="n">
        <v>3900</v>
      </c>
      <c r="H39" s="7" t="n">
        <v>3720</v>
      </c>
      <c r="I39" s="7" t="n">
        <v>60</v>
      </c>
      <c r="J39" s="11">
        <f>IF(C39="","",C39+D39)</f>
        <v/>
      </c>
      <c r="K39" s="11">
        <f>IF(E39="","",E39+F39)</f>
        <v/>
      </c>
      <c r="L39" s="11">
        <f>IF(J39="","",J39-K39)</f>
        <v/>
      </c>
      <c r="M39" s="11">
        <f>IF(G39="","",G39-H39)</f>
        <v/>
      </c>
      <c r="N39" s="11">
        <f>IF(M39="","",M39-I39)</f>
        <v/>
      </c>
      <c r="O39" s="11">
        <f>IF(OR(L39="",L39&lt;=0),"자본잠식",ROUND(K39/L39*100,1))</f>
        <v/>
      </c>
      <c r="P39" s="11">
        <f>IF(OR(L39="",L39&lt;=0),"—",ROUND(N39/L39*100,1))</f>
        <v/>
      </c>
    </row>
    <row r="40">
      <c r="A40" s="7" t="inlineStr">
        <is>
          <t>S07</t>
        </is>
      </c>
      <c r="B40" s="7" t="n">
        <v>2022</v>
      </c>
      <c r="C40" s="7" t="n">
        <v>3180</v>
      </c>
      <c r="D40" s="7" t="n">
        <v>3180</v>
      </c>
      <c r="E40" s="7" t="n">
        <v>1344</v>
      </c>
      <c r="F40" s="7" t="n">
        <v>2016</v>
      </c>
      <c r="G40" s="7" t="n">
        <v>4100</v>
      </c>
      <c r="H40" s="7" t="n">
        <v>3890</v>
      </c>
      <c r="I40" s="7" t="n">
        <v>60</v>
      </c>
      <c r="J40" s="11">
        <f>IF(C40="","",C40+D40)</f>
        <v/>
      </c>
      <c r="K40" s="11">
        <f>IF(E40="","",E40+F40)</f>
        <v/>
      </c>
      <c r="L40" s="11">
        <f>IF(J40="","",J40-K40)</f>
        <v/>
      </c>
      <c r="M40" s="11">
        <f>IF(G40="","",G40-H40)</f>
        <v/>
      </c>
      <c r="N40" s="11">
        <f>IF(M40="","",M40-I40)</f>
        <v/>
      </c>
      <c r="O40" s="11">
        <f>IF(OR(L40="",L40&lt;=0),"자본잠식",ROUND(K40/L40*100,1))</f>
        <v/>
      </c>
      <c r="P40" s="11">
        <f>IF(OR(L40="",L40&lt;=0),"—",ROUND(N40/L40*100,1))</f>
        <v/>
      </c>
    </row>
    <row r="41">
      <c r="A41" s="7" t="inlineStr">
        <is>
          <t>S07</t>
        </is>
      </c>
      <c r="B41" s="7" t="n">
        <v>2023</v>
      </c>
      <c r="C41" s="7" t="n">
        <v>1822</v>
      </c>
      <c r="D41" s="7" t="n">
        <v>1821</v>
      </c>
      <c r="E41" s="7" t="n">
        <v>837</v>
      </c>
      <c r="F41" s="7" t="n">
        <v>1256</v>
      </c>
      <c r="G41" s="7" t="n">
        <v>3100</v>
      </c>
      <c r="H41" s="7" t="n">
        <v>3340</v>
      </c>
      <c r="I41" s="7" t="n">
        <v>70</v>
      </c>
      <c r="J41" s="11">
        <f>IF(C41="","",C41+D41)</f>
        <v/>
      </c>
      <c r="K41" s="11">
        <f>IF(E41="","",E41+F41)</f>
        <v/>
      </c>
      <c r="L41" s="11">
        <f>IF(J41="","",J41-K41)</f>
        <v/>
      </c>
      <c r="M41" s="11">
        <f>IF(G41="","",G41-H41)</f>
        <v/>
      </c>
      <c r="N41" s="11">
        <f>IF(M41="","",M41-I41)</f>
        <v/>
      </c>
      <c r="O41" s="11">
        <f>IF(OR(L41="",L41&lt;=0),"자본잠식",ROUND(K41/L41*100,1))</f>
        <v/>
      </c>
      <c r="P41" s="11">
        <f>IF(OR(L41="",L41&lt;=0),"—",ROUND(N41/L41*100,1))</f>
        <v/>
      </c>
    </row>
    <row r="42">
      <c r="A42" s="7" t="inlineStr">
        <is>
          <t>S07</t>
        </is>
      </c>
      <c r="B42" s="7" t="n">
        <v>2024</v>
      </c>
      <c r="C42" s="7" t="n">
        <v>3124</v>
      </c>
      <c r="D42" s="7" t="n">
        <v>3124</v>
      </c>
      <c r="E42" s="7" t="n">
        <v>1280</v>
      </c>
      <c r="F42" s="7" t="n">
        <v>1920</v>
      </c>
      <c r="G42" s="7" t="n">
        <v>4600</v>
      </c>
      <c r="H42" s="7" t="n">
        <v>4180</v>
      </c>
      <c r="I42" s="7" t="n">
        <v>100</v>
      </c>
      <c r="J42" s="11">
        <f>IF(C42="","",C42+D42)</f>
        <v/>
      </c>
      <c r="K42" s="11">
        <f>IF(E42="","",E42+F42)</f>
        <v/>
      </c>
      <c r="L42" s="11">
        <f>IF(J42="","",J42-K42)</f>
        <v/>
      </c>
      <c r="M42" s="11">
        <f>IF(G42="","",G42-H42)</f>
        <v/>
      </c>
      <c r="N42" s="11">
        <f>IF(M42="","",M42-I42)</f>
        <v/>
      </c>
      <c r="O42" s="11">
        <f>IF(OR(L42="",L42&lt;=0),"자본잠식",ROUND(K42/L42*100,1))</f>
        <v/>
      </c>
      <c r="P42" s="11">
        <f>IF(OR(L42="",L42&lt;=0),"—",ROUND(N42/L42*100,1))</f>
        <v/>
      </c>
    </row>
    <row r="43">
      <c r="A43" s="7" t="inlineStr">
        <is>
          <t>S07</t>
        </is>
      </c>
      <c r="B43" s="7" t="n">
        <v>2025</v>
      </c>
      <c r="C43" s="7" t="n">
        <v>1938</v>
      </c>
      <c r="D43" s="7" t="n">
        <v>1938</v>
      </c>
      <c r="E43" s="7" t="n">
        <v>870</v>
      </c>
      <c r="F43" s="7" t="n">
        <v>1306</v>
      </c>
      <c r="G43" s="7" t="n">
        <v>3400</v>
      </c>
      <c r="H43" s="7" t="n">
        <v>3520</v>
      </c>
      <c r="I43" s="7" t="n">
        <v>60</v>
      </c>
      <c r="J43" s="11">
        <f>IF(C43="","",C43+D43)</f>
        <v/>
      </c>
      <c r="K43" s="11">
        <f>IF(E43="","",E43+F43)</f>
        <v/>
      </c>
      <c r="L43" s="11">
        <f>IF(J43="","",J43-K43)</f>
        <v/>
      </c>
      <c r="M43" s="11">
        <f>IF(G43="","",G43-H43)</f>
        <v/>
      </c>
      <c r="N43" s="11">
        <f>IF(M43="","",M43-I43)</f>
        <v/>
      </c>
      <c r="O43" s="11">
        <f>IF(OR(L43="",L43&lt;=0),"자본잠식",ROUND(K43/L43*100,1))</f>
        <v/>
      </c>
      <c r="P43" s="11">
        <f>IF(OR(L43="",L43&lt;=0),"—",ROUND(N43/L43*100,1))</f>
        <v/>
      </c>
    </row>
    <row r="44">
      <c r="A44" s="7" t="inlineStr">
        <is>
          <t>S08</t>
        </is>
      </c>
      <c r="B44" s="7" t="n">
        <v>2020</v>
      </c>
      <c r="C44" s="7" t="n">
        <v>12375</v>
      </c>
      <c r="D44" s="7" t="n">
        <v>12375</v>
      </c>
      <c r="E44" s="7" t="n">
        <v>3789</v>
      </c>
      <c r="F44" s="7" t="n">
        <v>5683</v>
      </c>
      <c r="G44" s="7" t="n">
        <v>21000</v>
      </c>
      <c r="H44" s="7" t="n">
        <v>19500</v>
      </c>
      <c r="I44" s="7" t="n">
        <v>400</v>
      </c>
      <c r="J44" s="11">
        <f>IF(C44="","",C44+D44)</f>
        <v/>
      </c>
      <c r="K44" s="11">
        <f>IF(E44="","",E44+F44)</f>
        <v/>
      </c>
      <c r="L44" s="11">
        <f>IF(J44="","",J44-K44)</f>
        <v/>
      </c>
      <c r="M44" s="11">
        <f>IF(G44="","",G44-H44)</f>
        <v/>
      </c>
      <c r="N44" s="11">
        <f>IF(M44="","",M44-I44)</f>
        <v/>
      </c>
      <c r="O44" s="11">
        <f>IF(OR(L44="",L44&lt;=0),"자본잠식",ROUND(K44/L44*100,1))</f>
        <v/>
      </c>
      <c r="P44" s="11">
        <f>IF(OR(L44="",L44&lt;=0),"—",ROUND(N44/L44*100,1))</f>
        <v/>
      </c>
    </row>
    <row r="45">
      <c r="A45" s="7" t="inlineStr">
        <is>
          <t>S08</t>
        </is>
      </c>
      <c r="B45" s="7" t="n">
        <v>2021</v>
      </c>
      <c r="C45" s="7" t="n">
        <v>12681</v>
      </c>
      <c r="D45" s="7" t="n">
        <v>12681</v>
      </c>
      <c r="E45" s="7" t="n">
        <v>3844</v>
      </c>
      <c r="F45" s="7" t="n">
        <v>5765</v>
      </c>
      <c r="G45" s="7" t="n">
        <v>21400</v>
      </c>
      <c r="H45" s="7" t="n">
        <v>19850</v>
      </c>
      <c r="I45" s="7" t="n">
        <v>400</v>
      </c>
      <c r="J45" s="11">
        <f>IF(C45="","",C45+D45)</f>
        <v/>
      </c>
      <c r="K45" s="11">
        <f>IF(E45="","",E45+F45)</f>
        <v/>
      </c>
      <c r="L45" s="11">
        <f>IF(J45="","",J45-K45)</f>
        <v/>
      </c>
      <c r="M45" s="11">
        <f>IF(G45="","",G45-H45)</f>
        <v/>
      </c>
      <c r="N45" s="11">
        <f>IF(M45="","",M45-I45)</f>
        <v/>
      </c>
      <c r="O45" s="11">
        <f>IF(OR(L45="",L45&lt;=0),"자본잠식",ROUND(K45/L45*100,1))</f>
        <v/>
      </c>
      <c r="P45" s="11">
        <f>IF(OR(L45="",L45&lt;=0),"—",ROUND(N45/L45*100,1))</f>
        <v/>
      </c>
    </row>
    <row r="46">
      <c r="A46" s="7" t="inlineStr">
        <is>
          <t>S08</t>
        </is>
      </c>
      <c r="B46" s="7" t="n">
        <v>2022</v>
      </c>
      <c r="C46" s="7" t="n">
        <v>13128</v>
      </c>
      <c r="D46" s="7" t="n">
        <v>13128</v>
      </c>
      <c r="E46" s="7" t="n">
        <v>3938</v>
      </c>
      <c r="F46" s="7" t="n">
        <v>5908</v>
      </c>
      <c r="G46" s="7" t="n">
        <v>22800</v>
      </c>
      <c r="H46" s="7" t="n">
        <v>21100</v>
      </c>
      <c r="I46" s="7" t="n">
        <v>420</v>
      </c>
      <c r="J46" s="11">
        <f>IF(C46="","",C46+D46)</f>
        <v/>
      </c>
      <c r="K46" s="11">
        <f>IF(E46="","",E46+F46)</f>
        <v/>
      </c>
      <c r="L46" s="11">
        <f>IF(J46="","",J46-K46)</f>
        <v/>
      </c>
      <c r="M46" s="11">
        <f>IF(G46="","",G46-H46)</f>
        <v/>
      </c>
      <c r="N46" s="11">
        <f>IF(M46="","",M46-I46)</f>
        <v/>
      </c>
      <c r="O46" s="11">
        <f>IF(OR(L46="",L46&lt;=0),"자본잠식",ROUND(K46/L46*100,1))</f>
        <v/>
      </c>
      <c r="P46" s="11">
        <f>IF(OR(L46="",L46&lt;=0),"—",ROUND(N46/L46*100,1))</f>
        <v/>
      </c>
    </row>
    <row r="47">
      <c r="A47" s="7" t="inlineStr">
        <is>
          <t>S08</t>
        </is>
      </c>
      <c r="B47" s="7" t="n">
        <v>2023</v>
      </c>
      <c r="C47" s="7" t="n">
        <v>13655</v>
      </c>
      <c r="D47" s="7" t="n">
        <v>13654</v>
      </c>
      <c r="E47" s="7" t="n">
        <v>4010</v>
      </c>
      <c r="F47" s="7" t="n">
        <v>6015</v>
      </c>
      <c r="G47" s="7" t="n">
        <v>24100</v>
      </c>
      <c r="H47" s="7" t="n">
        <v>22250</v>
      </c>
      <c r="I47" s="7" t="n">
        <v>450</v>
      </c>
      <c r="J47" s="11">
        <f>IF(C47="","",C47+D47)</f>
        <v/>
      </c>
      <c r="K47" s="11">
        <f>IF(E47="","",E47+F47)</f>
        <v/>
      </c>
      <c r="L47" s="11">
        <f>IF(J47="","",J47-K47)</f>
        <v/>
      </c>
      <c r="M47" s="11">
        <f>IF(G47="","",G47-H47)</f>
        <v/>
      </c>
      <c r="N47" s="11">
        <f>IF(M47="","",M47-I47)</f>
        <v/>
      </c>
      <c r="O47" s="11">
        <f>IF(OR(L47="",L47&lt;=0),"자본잠식",ROUND(K47/L47*100,1))</f>
        <v/>
      </c>
      <c r="P47" s="11">
        <f>IF(OR(L47="",L47&lt;=0),"—",ROUND(N47/L47*100,1))</f>
        <v/>
      </c>
    </row>
    <row r="48">
      <c r="A48" s="7" t="inlineStr">
        <is>
          <t>S08</t>
        </is>
      </c>
      <c r="B48" s="7" t="n">
        <v>2024</v>
      </c>
      <c r="C48" s="7" t="n">
        <v>14033</v>
      </c>
      <c r="D48" s="7" t="n">
        <v>14033</v>
      </c>
      <c r="E48" s="7" t="n">
        <v>4121</v>
      </c>
      <c r="F48" s="7" t="n">
        <v>6182</v>
      </c>
      <c r="G48" s="7" t="n">
        <v>24600</v>
      </c>
      <c r="H48" s="7" t="n">
        <v>22800</v>
      </c>
      <c r="I48" s="7" t="n">
        <v>450</v>
      </c>
      <c r="J48" s="11">
        <f>IF(C48="","",C48+D48)</f>
        <v/>
      </c>
      <c r="K48" s="11">
        <f>IF(E48="","",E48+F48)</f>
        <v/>
      </c>
      <c r="L48" s="11">
        <f>IF(J48="","",J48-K48)</f>
        <v/>
      </c>
      <c r="M48" s="11">
        <f>IF(G48="","",G48-H48)</f>
        <v/>
      </c>
      <c r="N48" s="11">
        <f>IF(M48="","",M48-I48)</f>
        <v/>
      </c>
      <c r="O48" s="11">
        <f>IF(OR(L48="",L48&lt;=0),"자본잠식",ROUND(K48/L48*100,1))</f>
        <v/>
      </c>
      <c r="P48" s="11">
        <f>IF(OR(L48="",L48&lt;=0),"—",ROUND(N48/L48*100,1))</f>
        <v/>
      </c>
    </row>
    <row r="49">
      <c r="A49" s="7" t="inlineStr">
        <is>
          <t>S08</t>
        </is>
      </c>
      <c r="B49" s="7" t="n">
        <v>2025</v>
      </c>
      <c r="C49" s="7" t="n">
        <v>14613</v>
      </c>
      <c r="D49" s="7" t="n">
        <v>14612</v>
      </c>
      <c r="E49" s="7" t="n">
        <v>4196</v>
      </c>
      <c r="F49" s="7" t="n">
        <v>6295</v>
      </c>
      <c r="G49" s="7" t="n">
        <v>25900</v>
      </c>
      <c r="H49" s="7" t="n">
        <v>23950</v>
      </c>
      <c r="I49" s="7" t="n">
        <v>470</v>
      </c>
      <c r="J49" s="11">
        <f>IF(C49="","",C49+D49)</f>
        <v/>
      </c>
      <c r="K49" s="11">
        <f>IF(E49="","",E49+F49)</f>
        <v/>
      </c>
      <c r="L49" s="11">
        <f>IF(J49="","",J49-K49)</f>
        <v/>
      </c>
      <c r="M49" s="11">
        <f>IF(G49="","",G49-H49)</f>
        <v/>
      </c>
      <c r="N49" s="11">
        <f>IF(M49="","",M49-I49)</f>
        <v/>
      </c>
      <c r="O49" s="11">
        <f>IF(OR(L49="",L49&lt;=0),"자본잠식",ROUND(K49/L49*100,1))</f>
        <v/>
      </c>
      <c r="P49" s="11">
        <f>IF(OR(L49="",L49&lt;=0),"—",ROUND(N49/L49*100,1))</f>
        <v/>
      </c>
    </row>
    <row r="50">
      <c r="A50" s="7" t="inlineStr">
        <is>
          <t>S09</t>
        </is>
      </c>
      <c r="B50" s="7" t="n">
        <v>2020</v>
      </c>
      <c r="C50" s="7" t="n">
        <v>55417</v>
      </c>
      <c r="D50" s="7" t="n">
        <v>55416</v>
      </c>
      <c r="E50" s="7" t="n">
        <v>26238</v>
      </c>
      <c r="F50" s="7" t="n">
        <v>39357</v>
      </c>
      <c r="G50" s="7" t="n">
        <v>98000</v>
      </c>
      <c r="H50" s="7" t="n">
        <v>95200</v>
      </c>
      <c r="I50" s="7" t="n">
        <v>900</v>
      </c>
      <c r="J50" s="11">
        <f>IF(C50="","",C50+D50)</f>
        <v/>
      </c>
      <c r="K50" s="11">
        <f>IF(E50="","",E50+F50)</f>
        <v/>
      </c>
      <c r="L50" s="11">
        <f>IF(J50="","",J50-K50)</f>
        <v/>
      </c>
      <c r="M50" s="11">
        <f>IF(G50="","",G50-H50)</f>
        <v/>
      </c>
      <c r="N50" s="11">
        <f>IF(M50="","",M50-I50)</f>
        <v/>
      </c>
      <c r="O50" s="11">
        <f>IF(OR(L50="",L50&lt;=0),"자본잠식",ROUND(K50/L50*100,1))</f>
        <v/>
      </c>
      <c r="P50" s="11">
        <f>IF(OR(L50="",L50&lt;=0),"—",ROUND(N50/L50*100,1))</f>
        <v/>
      </c>
    </row>
    <row r="51">
      <c r="A51" s="7" t="inlineStr">
        <is>
          <t>S09</t>
        </is>
      </c>
      <c r="B51" s="7" t="n">
        <v>2021</v>
      </c>
      <c r="C51" s="7" t="n">
        <v>61094</v>
      </c>
      <c r="D51" s="7" t="n">
        <v>61094</v>
      </c>
      <c r="E51" s="7" t="n">
        <v>27625</v>
      </c>
      <c r="F51" s="7" t="n">
        <v>41438</v>
      </c>
      <c r="G51" s="7" t="n">
        <v>132000</v>
      </c>
      <c r="H51" s="7" t="n">
        <v>123100</v>
      </c>
      <c r="I51" s="7" t="n">
        <v>2100</v>
      </c>
      <c r="J51" s="11">
        <f>IF(C51="","",C51+D51)</f>
        <v/>
      </c>
      <c r="K51" s="11">
        <f>IF(E51="","",E51+F51)</f>
        <v/>
      </c>
      <c r="L51" s="11">
        <f>IF(J51="","",J51-K51)</f>
        <v/>
      </c>
      <c r="M51" s="11">
        <f>IF(G51="","",G51-H51)</f>
        <v/>
      </c>
      <c r="N51" s="11">
        <f>IF(M51="","",M51-I51)</f>
        <v/>
      </c>
      <c r="O51" s="11">
        <f>IF(OR(L51="",L51&lt;=0),"자본잠식",ROUND(K51/L51*100,1))</f>
        <v/>
      </c>
      <c r="P51" s="11">
        <f>IF(OR(L51="",L51&lt;=0),"—",ROUND(N51/L51*100,1))</f>
        <v/>
      </c>
    </row>
    <row r="52">
      <c r="A52" s="7" t="inlineStr">
        <is>
          <t>S09</t>
        </is>
      </c>
      <c r="B52" s="7" t="n">
        <v>2022</v>
      </c>
      <c r="C52" s="7" t="n">
        <v>67692</v>
      </c>
      <c r="D52" s="7" t="n">
        <v>67692</v>
      </c>
      <c r="E52" s="7" t="n">
        <v>29538</v>
      </c>
      <c r="F52" s="7" t="n">
        <v>44308</v>
      </c>
      <c r="G52" s="7" t="n">
        <v>158000</v>
      </c>
      <c r="H52" s="7" t="n">
        <v>145500</v>
      </c>
      <c r="I52" s="7" t="n">
        <v>2900</v>
      </c>
      <c r="J52" s="11">
        <f>IF(C52="","",C52+D52)</f>
        <v/>
      </c>
      <c r="K52" s="11">
        <f>IF(E52="","",E52+F52)</f>
        <v/>
      </c>
      <c r="L52" s="11">
        <f>IF(J52="","",J52-K52)</f>
        <v/>
      </c>
      <c r="M52" s="11">
        <f>IF(G52="","",G52-H52)</f>
        <v/>
      </c>
      <c r="N52" s="11">
        <f>IF(M52="","",M52-I52)</f>
        <v/>
      </c>
      <c r="O52" s="11">
        <f>IF(OR(L52="",L52&lt;=0),"자본잠식",ROUND(K52/L52*100,1))</f>
        <v/>
      </c>
      <c r="P52" s="11">
        <f>IF(OR(L52="",L52&lt;=0),"—",ROUND(N52/L52*100,1))</f>
        <v/>
      </c>
    </row>
    <row r="53">
      <c r="A53" s="7" t="inlineStr">
        <is>
          <t>S09</t>
        </is>
      </c>
      <c r="B53" s="7" t="n">
        <v>2023</v>
      </c>
      <c r="C53" s="7" t="n">
        <v>73466</v>
      </c>
      <c r="D53" s="7" t="n">
        <v>73466</v>
      </c>
      <c r="E53" s="7" t="n">
        <v>32995</v>
      </c>
      <c r="F53" s="7" t="n">
        <v>49493</v>
      </c>
      <c r="G53" s="7" t="n">
        <v>141000</v>
      </c>
      <c r="H53" s="7" t="n">
        <v>136800</v>
      </c>
      <c r="I53" s="7" t="n">
        <v>1300</v>
      </c>
      <c r="J53" s="11">
        <f>IF(C53="","",C53+D53)</f>
        <v/>
      </c>
      <c r="K53" s="11">
        <f>IF(E53="","",E53+F53)</f>
        <v/>
      </c>
      <c r="L53" s="11">
        <f>IF(J53="","",J53-K53)</f>
        <v/>
      </c>
      <c r="M53" s="11">
        <f>IF(G53="","",G53-H53)</f>
        <v/>
      </c>
      <c r="N53" s="11">
        <f>IF(M53="","",M53-I53)</f>
        <v/>
      </c>
      <c r="O53" s="11">
        <f>IF(OR(L53="",L53&lt;=0),"자본잠식",ROUND(K53/L53*100,1))</f>
        <v/>
      </c>
      <c r="P53" s="11">
        <f>IF(OR(L53="",L53&lt;=0),"—",ROUND(N53/L53*100,1))</f>
        <v/>
      </c>
    </row>
    <row r="54">
      <c r="A54" s="7" t="inlineStr">
        <is>
          <t>S09</t>
        </is>
      </c>
      <c r="B54" s="7" t="n">
        <v>2024</v>
      </c>
      <c r="C54" s="7" t="n">
        <v>77752</v>
      </c>
      <c r="D54" s="7" t="n">
        <v>77751</v>
      </c>
      <c r="E54" s="7" t="n">
        <v>33270</v>
      </c>
      <c r="F54" s="7" t="n">
        <v>49906</v>
      </c>
      <c r="G54" s="7" t="n">
        <v>172000</v>
      </c>
      <c r="H54" s="7" t="n">
        <v>157200</v>
      </c>
      <c r="I54" s="7" t="n">
        <v>3300</v>
      </c>
      <c r="J54" s="11">
        <f>IF(C54="","",C54+D54)</f>
        <v/>
      </c>
      <c r="K54" s="11">
        <f>IF(E54="","",E54+F54)</f>
        <v/>
      </c>
      <c r="L54" s="11">
        <f>IF(J54="","",J54-K54)</f>
        <v/>
      </c>
      <c r="M54" s="11">
        <f>IF(G54="","",G54-H54)</f>
        <v/>
      </c>
      <c r="N54" s="11">
        <f>IF(M54="","",M54-I54)</f>
        <v/>
      </c>
      <c r="O54" s="11">
        <f>IF(OR(L54="",L54&lt;=0),"자본잠식",ROUND(K54/L54*100,1))</f>
        <v/>
      </c>
      <c r="P54" s="11">
        <f>IF(OR(L54="",L54&lt;=0),"—",ROUND(N54/L54*100,1))</f>
        <v/>
      </c>
    </row>
    <row r="55">
      <c r="A55" s="7" t="inlineStr">
        <is>
          <t>S09</t>
        </is>
      </c>
      <c r="B55" s="7" t="n">
        <v>2025</v>
      </c>
      <c r="C55" s="7" t="n">
        <v>86383</v>
      </c>
      <c r="D55" s="7" t="n">
        <v>86382</v>
      </c>
      <c r="E55" s="7" t="n">
        <v>35882</v>
      </c>
      <c r="F55" s="7" t="n">
        <v>53823</v>
      </c>
      <c r="G55" s="7" t="n">
        <v>198000</v>
      </c>
      <c r="H55" s="7" t="n">
        <v>178500</v>
      </c>
      <c r="I55" s="7" t="n">
        <v>4300</v>
      </c>
      <c r="J55" s="11">
        <f>IF(C55="","",C55+D55)</f>
        <v/>
      </c>
      <c r="K55" s="11">
        <f>IF(E55="","",E55+F55)</f>
        <v/>
      </c>
      <c r="L55" s="11">
        <f>IF(J55="","",J55-K55)</f>
        <v/>
      </c>
      <c r="M55" s="11">
        <f>IF(G55="","",G55-H55)</f>
        <v/>
      </c>
      <c r="N55" s="11">
        <f>IF(M55="","",M55-I55)</f>
        <v/>
      </c>
      <c r="O55" s="11">
        <f>IF(OR(L55="",L55&lt;=0),"자본잠식",ROUND(K55/L55*100,1))</f>
        <v/>
      </c>
      <c r="P55" s="11">
        <f>IF(OR(L55="",L55&lt;=0),"—",ROUND(N55/L55*100,1))</f>
        <v/>
      </c>
    </row>
    <row r="56">
      <c r="A56" s="7" t="inlineStr">
        <is>
          <t>S10</t>
        </is>
      </c>
      <c r="B56" s="7" t="n">
        <v>2020</v>
      </c>
      <c r="C56" s="7" t="n">
        <v>390</v>
      </c>
      <c r="D56" s="7" t="n">
        <v>390</v>
      </c>
      <c r="E56" s="7" t="n">
        <v>152</v>
      </c>
      <c r="F56" s="7" t="n">
        <v>228</v>
      </c>
      <c r="G56" s="7" t="n">
        <v>340</v>
      </c>
      <c r="H56" s="7" t="n">
        <v>325</v>
      </c>
      <c r="I56" s="7" t="n">
        <v>7</v>
      </c>
      <c r="J56" s="11">
        <f>IF(C56="","",C56+D56)</f>
        <v/>
      </c>
      <c r="K56" s="11">
        <f>IF(E56="","",E56+F56)</f>
        <v/>
      </c>
      <c r="L56" s="11">
        <f>IF(J56="","",J56-K56)</f>
        <v/>
      </c>
      <c r="M56" s="11">
        <f>IF(G56="","",G56-H56)</f>
        <v/>
      </c>
      <c r="N56" s="11">
        <f>IF(M56="","",M56-I56)</f>
        <v/>
      </c>
      <c r="O56" s="11">
        <f>IF(OR(L56="",L56&lt;=0),"자본잠식",ROUND(K56/L56*100,1))</f>
        <v/>
      </c>
      <c r="P56" s="11">
        <f>IF(OR(L56="",L56&lt;=0),"—",ROUND(N56/L56*100,1))</f>
        <v/>
      </c>
    </row>
    <row r="57">
      <c r="A57" s="7" t="inlineStr">
        <is>
          <t>S10</t>
        </is>
      </c>
      <c r="B57" s="7" t="n">
        <v>2021</v>
      </c>
      <c r="C57" s="7" t="n">
        <v>407</v>
      </c>
      <c r="D57" s="7" t="n">
        <v>407</v>
      </c>
      <c r="E57" s="7" t="n">
        <v>156</v>
      </c>
      <c r="F57" s="7" t="n">
        <v>234</v>
      </c>
      <c r="G57" s="7" t="n">
        <v>380</v>
      </c>
      <c r="H57" s="7" t="n">
        <v>358</v>
      </c>
      <c r="I57" s="7" t="n">
        <v>8</v>
      </c>
      <c r="J57" s="11">
        <f>IF(C57="","",C57+D57)</f>
        <v/>
      </c>
      <c r="K57" s="11">
        <f>IF(E57="","",E57+F57)</f>
        <v/>
      </c>
      <c r="L57" s="11">
        <f>IF(J57="","",J57-K57)</f>
        <v/>
      </c>
      <c r="M57" s="11">
        <f>IF(G57="","",G57-H57)</f>
        <v/>
      </c>
      <c r="N57" s="11">
        <f>IF(M57="","",M57-I57)</f>
        <v/>
      </c>
      <c r="O57" s="11">
        <f>IF(OR(L57="",L57&lt;=0),"자본잠식",ROUND(K57/L57*100,1))</f>
        <v/>
      </c>
      <c r="P57" s="11">
        <f>IF(OR(L57="",L57&lt;=0),"—",ROUND(N57/L57*100,1))</f>
        <v/>
      </c>
    </row>
    <row r="58">
      <c r="A58" s="7" t="inlineStr">
        <is>
          <t>S10</t>
        </is>
      </c>
      <c r="B58" s="7" t="n">
        <v>2022</v>
      </c>
      <c r="C58" s="7" t="n">
        <v>422</v>
      </c>
      <c r="D58" s="7" t="n">
        <v>422</v>
      </c>
      <c r="E58" s="7" t="n">
        <v>160</v>
      </c>
      <c r="F58" s="7" t="n">
        <v>240</v>
      </c>
      <c r="G58" s="7" t="n">
        <v>450</v>
      </c>
      <c r="H58" s="7" t="n">
        <v>420</v>
      </c>
      <c r="I58" s="7" t="n">
        <v>10</v>
      </c>
      <c r="J58" s="11">
        <f>IF(C58="","",C58+D58)</f>
        <v/>
      </c>
      <c r="K58" s="11">
        <f>IF(E58="","",E58+F58)</f>
        <v/>
      </c>
      <c r="L58" s="11">
        <f>IF(J58="","",J58-K58)</f>
        <v/>
      </c>
      <c r="M58" s="11">
        <f>IF(G58="","",G58-H58)</f>
        <v/>
      </c>
      <c r="N58" s="11">
        <f>IF(M58="","",M58-I58)</f>
        <v/>
      </c>
      <c r="O58" s="11">
        <f>IF(OR(L58="",L58&lt;=0),"자본잠식",ROUND(K58/L58*100,1))</f>
        <v/>
      </c>
      <c r="P58" s="11">
        <f>IF(OR(L58="",L58&lt;=0),"—",ROUND(N58/L58*100,1))</f>
        <v/>
      </c>
    </row>
    <row r="59">
      <c r="A59" s="7" t="inlineStr">
        <is>
          <t>S10</t>
        </is>
      </c>
      <c r="B59" s="7" t="n">
        <v>2023</v>
      </c>
      <c r="C59" s="7" t="n">
        <v>452</v>
      </c>
      <c r="D59" s="7" t="n">
        <v>451</v>
      </c>
      <c r="E59" s="7" t="n">
        <v>166</v>
      </c>
      <c r="F59" s="7" t="n">
        <v>249</v>
      </c>
      <c r="G59" s="7" t="n">
        <v>620</v>
      </c>
      <c r="H59" s="7" t="n">
        <v>565</v>
      </c>
      <c r="I59" s="7" t="n">
        <v>15</v>
      </c>
      <c r="J59" s="11">
        <f>IF(C59="","",C59+D59)</f>
        <v/>
      </c>
      <c r="K59" s="11">
        <f>IF(E59="","",E59+F59)</f>
        <v/>
      </c>
      <c r="L59" s="11">
        <f>IF(J59="","",J59-K59)</f>
        <v/>
      </c>
      <c r="M59" s="11">
        <f>IF(G59="","",G59-H59)</f>
        <v/>
      </c>
      <c r="N59" s="11">
        <f>IF(M59="","",M59-I59)</f>
        <v/>
      </c>
      <c r="O59" s="11">
        <f>IF(OR(L59="",L59&lt;=0),"자본잠식",ROUND(K59/L59*100,1))</f>
        <v/>
      </c>
      <c r="P59" s="11">
        <f>IF(OR(L59="",L59&lt;=0),"—",ROUND(N59/L59*100,1))</f>
        <v/>
      </c>
    </row>
    <row r="60">
      <c r="A60" s="7" t="inlineStr">
        <is>
          <t>S10</t>
        </is>
      </c>
      <c r="B60" s="7" t="n">
        <v>2024</v>
      </c>
      <c r="C60" s="7" t="n">
        <v>2768</v>
      </c>
      <c r="D60" s="7" t="n">
        <v>2767</v>
      </c>
      <c r="E60" s="7" t="n">
        <v>786</v>
      </c>
      <c r="F60" s="7" t="n">
        <v>1178</v>
      </c>
      <c r="G60" s="7" t="n">
        <v>5800</v>
      </c>
      <c r="H60" s="7" t="n">
        <v>3900</v>
      </c>
      <c r="I60" s="7" t="n">
        <v>400</v>
      </c>
      <c r="J60" s="11">
        <f>IF(C60="","",C60+D60)</f>
        <v/>
      </c>
      <c r="K60" s="11">
        <f>IF(E60="","",E60+F60)</f>
        <v/>
      </c>
      <c r="L60" s="11">
        <f>IF(J60="","",J60-K60)</f>
        <v/>
      </c>
      <c r="M60" s="11">
        <f>IF(G60="","",G60-H60)</f>
        <v/>
      </c>
      <c r="N60" s="11">
        <f>IF(M60="","",M60-I60)</f>
        <v/>
      </c>
      <c r="O60" s="11">
        <f>IF(OR(L60="",L60&lt;=0),"자본잠식",ROUND(K60/L60*100,1))</f>
        <v/>
      </c>
      <c r="P60" s="11">
        <f>IF(OR(L60="",L60&lt;=0),"—",ROUND(N60/L60*100,1))</f>
        <v/>
      </c>
    </row>
    <row r="61">
      <c r="A61" s="7" t="inlineStr">
        <is>
          <t>S10</t>
        </is>
      </c>
      <c r="B61" s="7" t="n">
        <v>2025</v>
      </c>
      <c r="C61" s="7" t="n">
        <v>3784</v>
      </c>
      <c r="D61" s="7" t="n">
        <v>3783</v>
      </c>
      <c r="E61" s="7" t="n">
        <v>1225</v>
      </c>
      <c r="F61" s="7" t="n">
        <v>1838</v>
      </c>
      <c r="G61" s="7" t="n">
        <v>4100</v>
      </c>
      <c r="H61" s="7" t="n">
        <v>3320</v>
      </c>
      <c r="I61" s="7" t="n">
        <v>190</v>
      </c>
      <c r="J61" s="11">
        <f>IF(C61="","",C61+D61)</f>
        <v/>
      </c>
      <c r="K61" s="11">
        <f>IF(E61="","",E61+F61)</f>
        <v/>
      </c>
      <c r="L61" s="11">
        <f>IF(J61="","",J61-K61)</f>
        <v/>
      </c>
      <c r="M61" s="11">
        <f>IF(G61="","",G61-H61)</f>
        <v/>
      </c>
      <c r="N61" s="11">
        <f>IF(M61="","",M61-I61)</f>
        <v/>
      </c>
      <c r="O61" s="11">
        <f>IF(OR(L61="",L61&lt;=0),"자본잠식",ROUND(K61/L61*100,1))</f>
        <v/>
      </c>
      <c r="P61" s="11">
        <f>IF(OR(L61="",L61&lt;=0),"—",ROUND(N61/L61*100,1))</f>
        <v/>
      </c>
    </row>
    <row r="62">
      <c r="A62" s="7" t="inlineStr">
        <is>
          <t>S11</t>
        </is>
      </c>
      <c r="B62" s="7" t="n">
        <v>2020</v>
      </c>
      <c r="C62" s="7" t="n">
        <v>2590</v>
      </c>
      <c r="D62" s="7" t="n">
        <v>2590</v>
      </c>
      <c r="E62" s="7" t="n">
        <v>952</v>
      </c>
      <c r="F62" s="7" t="n">
        <v>1428</v>
      </c>
      <c r="G62" s="7" t="n">
        <v>3100</v>
      </c>
      <c r="H62" s="7" t="n">
        <v>2820</v>
      </c>
      <c r="I62" s="7" t="n">
        <v>70</v>
      </c>
      <c r="J62" s="11">
        <f>IF(C62="","",C62+D62)</f>
        <v/>
      </c>
      <c r="K62" s="11">
        <f>IF(E62="","",E62+F62)</f>
        <v/>
      </c>
      <c r="L62" s="11">
        <f>IF(J62="","",J62-K62)</f>
        <v/>
      </c>
      <c r="M62" s="11">
        <f>IF(G62="","",G62-H62)</f>
        <v/>
      </c>
      <c r="N62" s="11">
        <f>IF(M62="","",M62-I62)</f>
        <v/>
      </c>
      <c r="O62" s="11">
        <f>IF(OR(L62="",L62&lt;=0),"자본잠식",ROUND(K62/L62*100,1))</f>
        <v/>
      </c>
      <c r="P62" s="11">
        <f>IF(OR(L62="",L62&lt;=0),"—",ROUND(N62/L62*100,1))</f>
        <v/>
      </c>
    </row>
    <row r="63">
      <c r="A63" s="7" t="inlineStr">
        <is>
          <t>S11</t>
        </is>
      </c>
      <c r="B63" s="7" t="n">
        <v>2021</v>
      </c>
      <c r="C63" s="7" t="n">
        <v>2730</v>
      </c>
      <c r="D63" s="7" t="n">
        <v>2730</v>
      </c>
      <c r="E63" s="7" t="n">
        <v>984</v>
      </c>
      <c r="F63" s="7" t="n">
        <v>1476</v>
      </c>
      <c r="G63" s="7" t="n">
        <v>3600</v>
      </c>
      <c r="H63" s="7" t="n">
        <v>3240</v>
      </c>
      <c r="I63" s="7" t="n">
        <v>90</v>
      </c>
      <c r="J63" s="11">
        <f>IF(C63="","",C63+D63)</f>
        <v/>
      </c>
      <c r="K63" s="11">
        <f>IF(E63="","",E63+F63)</f>
        <v/>
      </c>
      <c r="L63" s="11">
        <f>IF(J63="","",J63-K63)</f>
        <v/>
      </c>
      <c r="M63" s="11">
        <f>IF(G63="","",G63-H63)</f>
        <v/>
      </c>
      <c r="N63" s="11">
        <f>IF(M63="","",M63-I63)</f>
        <v/>
      </c>
      <c r="O63" s="11">
        <f>IF(OR(L63="",L63&lt;=0),"자본잠식",ROUND(K63/L63*100,1))</f>
        <v/>
      </c>
      <c r="P63" s="11">
        <f>IF(OR(L63="",L63&lt;=0),"—",ROUND(N63/L63*100,1))</f>
        <v/>
      </c>
    </row>
    <row r="64">
      <c r="A64" s="7" t="inlineStr">
        <is>
          <t>S11</t>
        </is>
      </c>
      <c r="B64" s="7" t="n">
        <v>2022</v>
      </c>
      <c r="C64" s="7" t="n">
        <v>2967</v>
      </c>
      <c r="D64" s="7" t="n">
        <v>2966</v>
      </c>
      <c r="E64" s="7" t="n">
        <v>1040</v>
      </c>
      <c r="F64" s="7" t="n">
        <v>1560</v>
      </c>
      <c r="G64" s="7" t="n">
        <v>4500</v>
      </c>
      <c r="H64" s="7" t="n">
        <v>3980</v>
      </c>
      <c r="I64" s="7" t="n">
        <v>120</v>
      </c>
      <c r="J64" s="11">
        <f>IF(C64="","",C64+D64)</f>
        <v/>
      </c>
      <c r="K64" s="11">
        <f>IF(E64="","",E64+F64)</f>
        <v/>
      </c>
      <c r="L64" s="11">
        <f>IF(J64="","",J64-K64)</f>
        <v/>
      </c>
      <c r="M64" s="11">
        <f>IF(G64="","",G64-H64)</f>
        <v/>
      </c>
      <c r="N64" s="11">
        <f>IF(M64="","",M64-I64)</f>
        <v/>
      </c>
      <c r="O64" s="11">
        <f>IF(OR(L64="",L64&lt;=0),"자본잠식",ROUND(K64/L64*100,1))</f>
        <v/>
      </c>
      <c r="P64" s="11">
        <f>IF(OR(L64="",L64&lt;=0),"—",ROUND(N64/L64*100,1))</f>
        <v/>
      </c>
    </row>
    <row r="65">
      <c r="A65" s="7" t="inlineStr">
        <is>
          <t>S11</t>
        </is>
      </c>
      <c r="B65" s="7" t="n">
        <v>2023</v>
      </c>
      <c r="C65" s="7" t="n">
        <v>3246</v>
      </c>
      <c r="D65" s="7" t="n">
        <v>3246</v>
      </c>
      <c r="E65" s="7" t="n">
        <v>1104</v>
      </c>
      <c r="F65" s="7" t="n">
        <v>1657</v>
      </c>
      <c r="G65" s="7" t="n">
        <v>5200</v>
      </c>
      <c r="H65" s="7" t="n">
        <v>4560</v>
      </c>
      <c r="I65" s="7" t="n">
        <v>140</v>
      </c>
      <c r="J65" s="11">
        <f>IF(C65="","",C65+D65)</f>
        <v/>
      </c>
      <c r="K65" s="11">
        <f>IF(E65="","",E65+F65)</f>
        <v/>
      </c>
      <c r="L65" s="11">
        <f>IF(J65="","",J65-K65)</f>
        <v/>
      </c>
      <c r="M65" s="11">
        <f>IF(G65="","",G65-H65)</f>
        <v/>
      </c>
      <c r="N65" s="11">
        <f>IF(M65="","",M65-I65)</f>
        <v/>
      </c>
      <c r="O65" s="11">
        <f>IF(OR(L65="",L65&lt;=0),"자본잠식",ROUND(K65/L65*100,1))</f>
        <v/>
      </c>
      <c r="P65" s="11">
        <f>IF(OR(L65="",L65&lt;=0),"—",ROUND(N65/L65*100,1))</f>
        <v/>
      </c>
    </row>
    <row r="66">
      <c r="A66" s="7" t="inlineStr">
        <is>
          <t>S11</t>
        </is>
      </c>
      <c r="B66" s="7" t="n">
        <v>2024</v>
      </c>
      <c r="C66" s="7" t="n">
        <v>3675</v>
      </c>
      <c r="D66" s="7" t="n">
        <v>3674</v>
      </c>
      <c r="E66" s="7" t="n">
        <v>1210</v>
      </c>
      <c r="F66" s="7" t="n">
        <v>1816</v>
      </c>
      <c r="G66" s="7" t="n">
        <v>6400</v>
      </c>
      <c r="H66" s="7" t="n">
        <v>5550</v>
      </c>
      <c r="I66" s="7" t="n">
        <v>180</v>
      </c>
      <c r="J66" s="11">
        <f>IF(C66="","",C66+D66)</f>
        <v/>
      </c>
      <c r="K66" s="11">
        <f>IF(E66="","",E66+F66)</f>
        <v/>
      </c>
      <c r="L66" s="11">
        <f>IF(J66="","",J66-K66)</f>
        <v/>
      </c>
      <c r="M66" s="11">
        <f>IF(G66="","",G66-H66)</f>
        <v/>
      </c>
      <c r="N66" s="11">
        <f>IF(M66="","",M66-I66)</f>
        <v/>
      </c>
      <c r="O66" s="11">
        <f>IF(OR(L66="",L66&lt;=0),"자본잠식",ROUND(K66/L66*100,1))</f>
        <v/>
      </c>
      <c r="P66" s="11">
        <f>IF(OR(L66="",L66&lt;=0),"—",ROUND(N66/L66*100,1))</f>
        <v/>
      </c>
    </row>
    <row r="67">
      <c r="A67" s="7" t="inlineStr">
        <is>
          <t>S11</t>
        </is>
      </c>
      <c r="B67" s="7" t="n">
        <v>2025</v>
      </c>
      <c r="C67" s="7" t="n">
        <v>3980</v>
      </c>
      <c r="D67" s="7" t="n">
        <v>3980</v>
      </c>
      <c r="E67" s="7" t="n">
        <v>1333</v>
      </c>
      <c r="F67" s="7" t="n">
        <v>1999</v>
      </c>
      <c r="G67" s="7" t="n">
        <v>6100</v>
      </c>
      <c r="H67" s="7" t="n">
        <v>5380</v>
      </c>
      <c r="I67" s="7" t="n">
        <v>160</v>
      </c>
      <c r="J67" s="11">
        <f>IF(C67="","",C67+D67)</f>
        <v/>
      </c>
      <c r="K67" s="11">
        <f>IF(E67="","",E67+F67)</f>
        <v/>
      </c>
      <c r="L67" s="11">
        <f>IF(J67="","",J67-K67)</f>
        <v/>
      </c>
      <c r="M67" s="11">
        <f>IF(G67="","",G67-H67)</f>
        <v/>
      </c>
      <c r="N67" s="11">
        <f>IF(M67="","",M67-I67)</f>
        <v/>
      </c>
      <c r="O67" s="11">
        <f>IF(OR(L67="",L67&lt;=0),"자본잠식",ROUND(K67/L67*100,1))</f>
        <v/>
      </c>
      <c r="P67" s="11">
        <f>IF(OR(L67="",L67&lt;=0),"—",ROUND(N67/L67*100,1))</f>
        <v/>
      </c>
    </row>
    <row r="68">
      <c r="A68" s="7" t="inlineStr">
        <is>
          <t>S12</t>
        </is>
      </c>
      <c r="B68" s="7" t="n">
        <v>2020</v>
      </c>
      <c r="C68" s="7" t="n">
        <v>850</v>
      </c>
      <c r="D68" s="7" t="n">
        <v>850</v>
      </c>
      <c r="E68" s="7" t="n">
        <v>280</v>
      </c>
      <c r="F68" s="7" t="n">
        <v>420</v>
      </c>
      <c r="G68" s="7" t="n">
        <v>980</v>
      </c>
      <c r="H68" s="7" t="n">
        <v>870</v>
      </c>
      <c r="I68" s="7" t="n">
        <v>30</v>
      </c>
      <c r="J68" s="11">
        <f>IF(C68="","",C68+D68)</f>
        <v/>
      </c>
      <c r="K68" s="11">
        <f>IF(E68="","",E68+F68)</f>
        <v/>
      </c>
      <c r="L68" s="11">
        <f>IF(J68="","",J68-K68)</f>
        <v/>
      </c>
      <c r="M68" s="11">
        <f>IF(G68="","",G68-H68)</f>
        <v/>
      </c>
      <c r="N68" s="11">
        <f>IF(M68="","",M68-I68)</f>
        <v/>
      </c>
      <c r="O68" s="11">
        <f>IF(OR(L68="",L68&lt;=0),"자본잠식",ROUND(K68/L68*100,1))</f>
        <v/>
      </c>
      <c r="P68" s="11">
        <f>IF(OR(L68="",L68&lt;=0),"—",ROUND(N68/L68*100,1))</f>
        <v/>
      </c>
    </row>
    <row r="69">
      <c r="A69" s="7" t="inlineStr">
        <is>
          <t>S12</t>
        </is>
      </c>
      <c r="B69" s="7" t="n">
        <v>2021</v>
      </c>
      <c r="C69" s="7" t="n">
        <v>977</v>
      </c>
      <c r="D69" s="7" t="n">
        <v>977</v>
      </c>
      <c r="E69" s="7" t="n">
        <v>308</v>
      </c>
      <c r="F69" s="7" t="n">
        <v>462</v>
      </c>
      <c r="G69" s="7" t="n">
        <v>1450</v>
      </c>
      <c r="H69" s="7" t="n">
        <v>1220</v>
      </c>
      <c r="I69" s="7" t="n">
        <v>50</v>
      </c>
      <c r="J69" s="11">
        <f>IF(C69="","",C69+D69)</f>
        <v/>
      </c>
      <c r="K69" s="11">
        <f>IF(E69="","",E69+F69)</f>
        <v/>
      </c>
      <c r="L69" s="11">
        <f>IF(J69="","",J69-K69)</f>
        <v/>
      </c>
      <c r="M69" s="11">
        <f>IF(G69="","",G69-H69)</f>
        <v/>
      </c>
      <c r="N69" s="11">
        <f>IF(M69="","",M69-I69)</f>
        <v/>
      </c>
      <c r="O69" s="11">
        <f>IF(OR(L69="",L69&lt;=0),"자본잠식",ROUND(K69/L69*100,1))</f>
        <v/>
      </c>
      <c r="P69" s="11">
        <f>IF(OR(L69="",L69&lt;=0),"—",ROUND(N69/L69*100,1))</f>
        <v/>
      </c>
    </row>
    <row r="70">
      <c r="A70" s="7" t="inlineStr">
        <is>
          <t>S12</t>
        </is>
      </c>
      <c r="B70" s="7" t="n">
        <v>2022</v>
      </c>
      <c r="C70" s="7" t="n">
        <v>1059</v>
      </c>
      <c r="D70" s="7" t="n">
        <v>1058</v>
      </c>
      <c r="E70" s="7" t="n">
        <v>327</v>
      </c>
      <c r="F70" s="7" t="n">
        <v>491</v>
      </c>
      <c r="G70" s="7" t="n">
        <v>1620</v>
      </c>
      <c r="H70" s="7" t="n">
        <v>1360</v>
      </c>
      <c r="I70" s="7" t="n">
        <v>60</v>
      </c>
      <c r="J70" s="11">
        <f>IF(C70="","",C70+D70)</f>
        <v/>
      </c>
      <c r="K70" s="11">
        <f>IF(E70="","",E70+F70)</f>
        <v/>
      </c>
      <c r="L70" s="11">
        <f>IF(J70="","",J70-K70)</f>
        <v/>
      </c>
      <c r="M70" s="11">
        <f>IF(G70="","",G70-H70)</f>
        <v/>
      </c>
      <c r="N70" s="11">
        <f>IF(M70="","",M70-I70)</f>
        <v/>
      </c>
      <c r="O70" s="11">
        <f>IF(OR(L70="",L70&lt;=0),"자본잠식",ROUND(K70/L70*100,1))</f>
        <v/>
      </c>
      <c r="P70" s="11">
        <f>IF(OR(L70="",L70&lt;=0),"—",ROUND(N70/L70*100,1))</f>
        <v/>
      </c>
    </row>
    <row r="71">
      <c r="A71" s="7" t="inlineStr">
        <is>
          <t>S12</t>
        </is>
      </c>
      <c r="B71" s="7" t="n">
        <v>2023</v>
      </c>
      <c r="C71" s="7" t="n">
        <v>490</v>
      </c>
      <c r="D71" s="7" t="n">
        <v>489</v>
      </c>
      <c r="E71" s="7" t="n">
        <v>172</v>
      </c>
      <c r="F71" s="7" t="n">
        <v>257</v>
      </c>
      <c r="G71" s="7" t="n">
        <v>1100</v>
      </c>
      <c r="H71" s="7" t="n">
        <v>1180</v>
      </c>
      <c r="I71" s="7" t="n">
        <v>40</v>
      </c>
      <c r="J71" s="11">
        <f>IF(C71="","",C71+D71)</f>
        <v/>
      </c>
      <c r="K71" s="11">
        <f>IF(E71="","",E71+F71)</f>
        <v/>
      </c>
      <c r="L71" s="11">
        <f>IF(J71="","",J71-K71)</f>
        <v/>
      </c>
      <c r="M71" s="11">
        <f>IF(G71="","",G71-H71)</f>
        <v/>
      </c>
      <c r="N71" s="11">
        <f>IF(M71="","",M71-I71)</f>
        <v/>
      </c>
      <c r="O71" s="11">
        <f>IF(OR(L71="",L71&lt;=0),"자본잠식",ROUND(K71/L71*100,1))</f>
        <v/>
      </c>
      <c r="P71" s="11">
        <f>IF(OR(L71="",L71&lt;=0),"—",ROUND(N71/L71*100,1))</f>
        <v/>
      </c>
    </row>
    <row r="72">
      <c r="A72" s="7" t="inlineStr">
        <is>
          <t>S12</t>
        </is>
      </c>
      <c r="B72" s="7" t="n">
        <v>2024</v>
      </c>
      <c r="C72" s="7" t="n">
        <v>1209</v>
      </c>
      <c r="D72" s="7" t="n">
        <v>1208</v>
      </c>
      <c r="E72" s="7" t="n">
        <v>384</v>
      </c>
      <c r="F72" s="7" t="n">
        <v>577</v>
      </c>
      <c r="G72" s="7" t="n">
        <v>1750</v>
      </c>
      <c r="H72" s="7" t="n">
        <v>1460</v>
      </c>
      <c r="I72" s="7" t="n">
        <v>60</v>
      </c>
      <c r="J72" s="11">
        <f>IF(C72="","",C72+D72)</f>
        <v/>
      </c>
      <c r="K72" s="11">
        <f>IF(E72="","",E72+F72)</f>
        <v/>
      </c>
      <c r="L72" s="11">
        <f>IF(J72="","",J72-K72)</f>
        <v/>
      </c>
      <c r="M72" s="11">
        <f>IF(G72="","",G72-H72)</f>
        <v/>
      </c>
      <c r="N72" s="11">
        <f>IF(M72="","",M72-I72)</f>
        <v/>
      </c>
      <c r="O72" s="11">
        <f>IF(OR(L72="",L72&lt;=0),"자본잠식",ROUND(K72/L72*100,1))</f>
        <v/>
      </c>
      <c r="P72" s="11">
        <f>IF(OR(L72="",L72&lt;=0),"—",ROUND(N72/L72*100,1))</f>
        <v/>
      </c>
    </row>
    <row r="73">
      <c r="A73" s="7" t="inlineStr">
        <is>
          <t>S12</t>
        </is>
      </c>
      <c r="B73" s="7" t="n">
        <v>2025</v>
      </c>
      <c r="C73" s="7" t="n">
        <v>1475</v>
      </c>
      <c r="D73" s="7" t="n">
        <v>1475</v>
      </c>
      <c r="E73" s="7" t="n">
        <v>433</v>
      </c>
      <c r="F73" s="7" t="n">
        <v>650</v>
      </c>
      <c r="G73" s="7" t="n">
        <v>2600</v>
      </c>
      <c r="H73" s="7" t="n">
        <v>2040</v>
      </c>
      <c r="I73" s="7" t="n">
        <v>110</v>
      </c>
      <c r="J73" s="11">
        <f>IF(C73="","",C73+D73)</f>
        <v/>
      </c>
      <c r="K73" s="11">
        <f>IF(E73="","",E73+F73)</f>
        <v/>
      </c>
      <c r="L73" s="11">
        <f>IF(J73="","",J73-K73)</f>
        <v/>
      </c>
      <c r="M73" s="11">
        <f>IF(G73="","",G73-H73)</f>
        <v/>
      </c>
      <c r="N73" s="11">
        <f>IF(M73="","",M73-I73)</f>
        <v/>
      </c>
      <c r="O73" s="11">
        <f>IF(OR(L73="",L73&lt;=0),"자본잠식",ROUND(K73/L73*100,1))</f>
        <v/>
      </c>
      <c r="P73" s="11">
        <f>IF(OR(L73="",L73&lt;=0),"—",ROUND(N73/L73*100,1))</f>
        <v/>
      </c>
    </row>
    <row r="74">
      <c r="A74" s="7" t="inlineStr">
        <is>
          <t>S13</t>
        </is>
      </c>
      <c r="B74" s="7" t="n">
        <v>2022</v>
      </c>
      <c r="C74" s="7" t="n">
        <v>263</v>
      </c>
      <c r="D74" s="7" t="n">
        <v>262</v>
      </c>
      <c r="E74" s="7" t="n">
        <v>126</v>
      </c>
      <c r="F74" s="7" t="n">
        <v>189</v>
      </c>
      <c r="G74" s="7" t="n">
        <v>420</v>
      </c>
      <c r="H74" s="7" t="n">
        <v>600</v>
      </c>
      <c r="I74" s="7" t="n">
        <v>30</v>
      </c>
      <c r="J74" s="11">
        <f>IF(C74="","",C74+D74)</f>
        <v/>
      </c>
      <c r="K74" s="11">
        <f>IF(E74="","",E74+F74)</f>
        <v/>
      </c>
      <c r="L74" s="11">
        <f>IF(J74="","",J74-K74)</f>
        <v/>
      </c>
      <c r="M74" s="11">
        <f>IF(G74="","",G74-H74)</f>
        <v/>
      </c>
      <c r="N74" s="11">
        <f>IF(M74="","",M74-I74)</f>
        <v/>
      </c>
      <c r="O74" s="11">
        <f>IF(OR(L74="",L74&lt;=0),"자본잠식",ROUND(K74/L74*100,1))</f>
        <v/>
      </c>
      <c r="P74" s="11">
        <f>IF(OR(L74="",L74&lt;=0),"—",ROUND(N74/L74*100,1))</f>
        <v/>
      </c>
    </row>
    <row r="75">
      <c r="A75" s="7" t="inlineStr">
        <is>
          <t>S13</t>
        </is>
      </c>
      <c r="B75" s="7" t="n">
        <v>2023</v>
      </c>
      <c r="C75" s="7" t="n">
        <v>338</v>
      </c>
      <c r="D75" s="7" t="n">
        <v>338</v>
      </c>
      <c r="E75" s="7" t="n">
        <v>168</v>
      </c>
      <c r="F75" s="7" t="n">
        <v>253</v>
      </c>
      <c r="G75" s="7" t="n">
        <v>510</v>
      </c>
      <c r="H75" s="7" t="n">
        <v>630</v>
      </c>
      <c r="I75" s="7" t="n">
        <v>30</v>
      </c>
      <c r="J75" s="11">
        <f>IF(C75="","",C75+D75)</f>
        <v/>
      </c>
      <c r="K75" s="11">
        <f>IF(E75="","",E75+F75)</f>
        <v/>
      </c>
      <c r="L75" s="11">
        <f>IF(J75="","",J75-K75)</f>
        <v/>
      </c>
      <c r="M75" s="11">
        <f>IF(G75="","",G75-H75)</f>
        <v/>
      </c>
      <c r="N75" s="11">
        <f>IF(M75="","",M75-I75)</f>
        <v/>
      </c>
      <c r="O75" s="11">
        <f>IF(OR(L75="",L75&lt;=0),"자본잠식",ROUND(K75/L75*100,1))</f>
        <v/>
      </c>
      <c r="P75" s="11">
        <f>IF(OR(L75="",L75&lt;=0),"—",ROUND(N75/L75*100,1))</f>
        <v/>
      </c>
    </row>
    <row r="76">
      <c r="A76" s="7" t="inlineStr">
        <is>
          <t>S13</t>
        </is>
      </c>
      <c r="B76" s="7" t="n">
        <v>2024</v>
      </c>
      <c r="C76" s="7" t="n">
        <v>468</v>
      </c>
      <c r="D76" s="7" t="n">
        <v>468</v>
      </c>
      <c r="E76" s="7" t="n">
        <v>218</v>
      </c>
      <c r="F76" s="7" t="n">
        <v>328</v>
      </c>
      <c r="G76" s="7" t="n">
        <v>780</v>
      </c>
      <c r="H76" s="7" t="n">
        <v>810</v>
      </c>
      <c r="I76" s="7" t="n">
        <v>15</v>
      </c>
      <c r="J76" s="11">
        <f>IF(C76="","",C76+D76)</f>
        <v/>
      </c>
      <c r="K76" s="11">
        <f>IF(E76="","",E76+F76)</f>
        <v/>
      </c>
      <c r="L76" s="11">
        <f>IF(J76="","",J76-K76)</f>
        <v/>
      </c>
      <c r="M76" s="11">
        <f>IF(G76="","",G76-H76)</f>
        <v/>
      </c>
      <c r="N76" s="11">
        <f>IF(M76="","",M76-I76)</f>
        <v/>
      </c>
      <c r="O76" s="11">
        <f>IF(OR(L76="",L76&lt;=0),"자본잠식",ROUND(K76/L76*100,1))</f>
        <v/>
      </c>
      <c r="P76" s="11">
        <f>IF(OR(L76="",L76&lt;=0),"—",ROUND(N76/L76*100,1))</f>
        <v/>
      </c>
    </row>
    <row r="77">
      <c r="A77" s="7" t="inlineStr">
        <is>
          <t>S13</t>
        </is>
      </c>
      <c r="B77" s="7" t="n">
        <v>2025</v>
      </c>
      <c r="C77" s="7" t="n">
        <v>909</v>
      </c>
      <c r="D77" s="7" t="n">
        <v>908</v>
      </c>
      <c r="E77" s="7" t="n">
        <v>381</v>
      </c>
      <c r="F77" s="7" t="n">
        <v>571</v>
      </c>
      <c r="G77" s="7" t="n">
        <v>1450</v>
      </c>
      <c r="H77" s="7" t="n">
        <v>1240</v>
      </c>
      <c r="I77" s="7" t="n">
        <v>50</v>
      </c>
      <c r="J77" s="11">
        <f>IF(C77="","",C77+D77)</f>
        <v/>
      </c>
      <c r="K77" s="11">
        <f>IF(E77="","",E77+F77)</f>
        <v/>
      </c>
      <c r="L77" s="11">
        <f>IF(J77="","",J77-K77)</f>
        <v/>
      </c>
      <c r="M77" s="11">
        <f>IF(G77="","",G77-H77)</f>
        <v/>
      </c>
      <c r="N77" s="11">
        <f>IF(M77="","",M77-I77)</f>
        <v/>
      </c>
      <c r="O77" s="11">
        <f>IF(OR(L77="",L77&lt;=0),"자본잠식",ROUND(K77/L77*100,1))</f>
        <v/>
      </c>
      <c r="P77" s="11">
        <f>IF(OR(L77="",L77&lt;=0),"—",ROUND(N77/L77*100,1))</f>
        <v/>
      </c>
    </row>
    <row r="78">
      <c r="A78" s="7" t="inlineStr">
        <is>
          <t>S14</t>
        </is>
      </c>
      <c r="B78" s="7" t="n">
        <v>2020</v>
      </c>
      <c r="C78" s="7" t="n">
        <v>585</v>
      </c>
      <c r="D78" s="7" t="n">
        <v>584</v>
      </c>
      <c r="E78" s="7" t="n">
        <v>219</v>
      </c>
      <c r="F78" s="7" t="n">
        <v>328</v>
      </c>
      <c r="G78" s="7" t="n">
        <v>640</v>
      </c>
      <c r="H78" s="7" t="n">
        <v>600</v>
      </c>
      <c r="I78" s="7" t="n">
        <v>12</v>
      </c>
      <c r="J78" s="11">
        <f>IF(C78="","",C78+D78)</f>
        <v/>
      </c>
      <c r="K78" s="11">
        <f>IF(E78="","",E78+F78)</f>
        <v/>
      </c>
      <c r="L78" s="11">
        <f>IF(J78="","",J78-K78)</f>
        <v/>
      </c>
      <c r="M78" s="11">
        <f>IF(G78="","",G78-H78)</f>
        <v/>
      </c>
      <c r="N78" s="11">
        <f>IF(M78="","",M78-I78)</f>
        <v/>
      </c>
      <c r="O78" s="11">
        <f>IF(OR(L78="",L78&lt;=0),"자본잠식",ROUND(K78/L78*100,1))</f>
        <v/>
      </c>
      <c r="P78" s="11">
        <f>IF(OR(L78="",L78&lt;=0),"—",ROUND(N78/L78*100,1))</f>
        <v/>
      </c>
    </row>
    <row r="79">
      <c r="A79" s="7" t="inlineStr">
        <is>
          <t>S14</t>
        </is>
      </c>
      <c r="B79" s="7" t="n">
        <v>2021</v>
      </c>
      <c r="C79" s="7" t="n">
        <v>911</v>
      </c>
      <c r="D79" s="7" t="n">
        <v>910</v>
      </c>
      <c r="E79" s="7" t="n">
        <v>300</v>
      </c>
      <c r="F79" s="7" t="n">
        <v>450</v>
      </c>
      <c r="G79" s="7" t="n">
        <v>2100</v>
      </c>
      <c r="H79" s="7" t="n">
        <v>1720</v>
      </c>
      <c r="I79" s="7" t="n">
        <v>80</v>
      </c>
      <c r="J79" s="11">
        <f>IF(C79="","",C79+D79)</f>
        <v/>
      </c>
      <c r="K79" s="11">
        <f>IF(E79="","",E79+F79)</f>
        <v/>
      </c>
      <c r="L79" s="11">
        <f>IF(J79="","",J79-K79)</f>
        <v/>
      </c>
      <c r="M79" s="11">
        <f>IF(G79="","",G79-H79)</f>
        <v/>
      </c>
      <c r="N79" s="11">
        <f>IF(M79="","",M79-I79)</f>
        <v/>
      </c>
      <c r="O79" s="11">
        <f>IF(OR(L79="",L79&lt;=0),"자본잠식",ROUND(K79/L79*100,1))</f>
        <v/>
      </c>
      <c r="P79" s="11">
        <f>IF(OR(L79="",L79&lt;=0),"—",ROUND(N79/L79*100,1))</f>
        <v/>
      </c>
    </row>
    <row r="80">
      <c r="A80" s="7" t="inlineStr">
        <is>
          <t>S14</t>
        </is>
      </c>
      <c r="B80" s="7" t="n">
        <v>2022</v>
      </c>
      <c r="C80" s="7" t="n">
        <v>462</v>
      </c>
      <c r="D80" s="7" t="n">
        <v>461</v>
      </c>
      <c r="E80" s="7" t="n">
        <v>189</v>
      </c>
      <c r="F80" s="7" t="n">
        <v>284</v>
      </c>
      <c r="G80" s="7" t="n">
        <v>900</v>
      </c>
      <c r="H80" s="7" t="n">
        <v>1050</v>
      </c>
      <c r="I80" s="7" t="n">
        <v>40</v>
      </c>
      <c r="J80" s="11">
        <f>IF(C80="","",C80+D80)</f>
        <v/>
      </c>
      <c r="K80" s="11">
        <f>IF(E80="","",E80+F80)</f>
        <v/>
      </c>
      <c r="L80" s="11">
        <f>IF(J80="","",J80-K80)</f>
        <v/>
      </c>
      <c r="M80" s="11">
        <f>IF(G80="","",G80-H80)</f>
        <v/>
      </c>
      <c r="N80" s="11">
        <f>IF(M80="","",M80-I80)</f>
        <v/>
      </c>
      <c r="O80" s="11">
        <f>IF(OR(L80="",L80&lt;=0),"자본잠식",ROUND(K80/L80*100,1))</f>
        <v/>
      </c>
      <c r="P80" s="11">
        <f>IF(OR(L80="",L80&lt;=0),"—",ROUND(N80/L80*100,1))</f>
        <v/>
      </c>
    </row>
    <row r="81">
      <c r="A81" s="7" t="inlineStr">
        <is>
          <t>S14</t>
        </is>
      </c>
      <c r="B81" s="7" t="n">
        <v>2023</v>
      </c>
      <c r="C81" s="7" t="n">
        <v>312</v>
      </c>
      <c r="D81" s="7" t="n">
        <v>312</v>
      </c>
      <c r="E81" s="7" t="n">
        <v>154</v>
      </c>
      <c r="F81" s="7" t="n">
        <v>230</v>
      </c>
      <c r="G81" s="7" t="n">
        <v>480</v>
      </c>
      <c r="H81" s="7" t="n">
        <v>690</v>
      </c>
      <c r="I81" s="7" t="n">
        <v>40</v>
      </c>
      <c r="J81" s="11">
        <f>IF(C81="","",C81+D81)</f>
        <v/>
      </c>
      <c r="K81" s="11">
        <f>IF(E81="","",E81+F81)</f>
        <v/>
      </c>
      <c r="L81" s="11">
        <f>IF(J81="","",J81-K81)</f>
        <v/>
      </c>
      <c r="M81" s="11">
        <f>IF(G81="","",G81-H81)</f>
        <v/>
      </c>
      <c r="N81" s="11">
        <f>IF(M81="","",M81-I81)</f>
        <v/>
      </c>
      <c r="O81" s="11">
        <f>IF(OR(L81="",L81&lt;=0),"자본잠식",ROUND(K81/L81*100,1))</f>
        <v/>
      </c>
      <c r="P81" s="11">
        <f>IF(OR(L81="",L81&lt;=0),"—",ROUND(N81/L81*100,1))</f>
        <v/>
      </c>
    </row>
    <row r="82">
      <c r="A82" s="7" t="inlineStr">
        <is>
          <t>S14</t>
        </is>
      </c>
      <c r="B82" s="7" t="n">
        <v>2024</v>
      </c>
      <c r="C82" s="7" t="n">
        <v>289</v>
      </c>
      <c r="D82" s="7" t="n">
        <v>289</v>
      </c>
      <c r="E82" s="7" t="n">
        <v>147</v>
      </c>
      <c r="F82" s="7" t="n">
        <v>221</v>
      </c>
      <c r="G82" s="7" t="n">
        <v>420</v>
      </c>
      <c r="H82" s="7" t="n">
        <v>510</v>
      </c>
      <c r="I82" s="7" t="n">
        <v>30</v>
      </c>
      <c r="J82" s="11">
        <f>IF(C82="","",C82+D82)</f>
        <v/>
      </c>
      <c r="K82" s="11">
        <f>IF(E82="","",E82+F82)</f>
        <v/>
      </c>
      <c r="L82" s="11">
        <f>IF(J82="","",J82-K82)</f>
        <v/>
      </c>
      <c r="M82" s="11">
        <f>IF(G82="","",G82-H82)</f>
        <v/>
      </c>
      <c r="N82" s="11">
        <f>IF(M82="","",M82-I82)</f>
        <v/>
      </c>
      <c r="O82" s="11">
        <f>IF(OR(L82="",L82&lt;=0),"자본잠식",ROUND(K82/L82*100,1))</f>
        <v/>
      </c>
      <c r="P82" s="11">
        <f>IF(OR(L82="",L82&lt;=0),"—",ROUND(N82/L82*100,1))</f>
        <v/>
      </c>
    </row>
    <row r="83">
      <c r="A83" s="7" t="inlineStr">
        <is>
          <t>S14</t>
        </is>
      </c>
      <c r="B83" s="7" t="n">
        <v>2025</v>
      </c>
      <c r="C83" s="7" t="n">
        <v>745</v>
      </c>
      <c r="D83" s="7" t="n">
        <v>745</v>
      </c>
      <c r="E83" s="7" t="n">
        <v>374</v>
      </c>
      <c r="F83" s="7" t="n">
        <v>560</v>
      </c>
      <c r="G83" s="7" t="n">
        <v>510</v>
      </c>
      <c r="H83" s="7" t="n">
        <v>500</v>
      </c>
      <c r="I83" s="7" t="n">
        <v>5</v>
      </c>
      <c r="J83" s="11">
        <f>IF(C83="","",C83+D83)</f>
        <v/>
      </c>
      <c r="K83" s="11">
        <f>IF(E83="","",E83+F83)</f>
        <v/>
      </c>
      <c r="L83" s="11">
        <f>IF(J83="","",J83-K83)</f>
        <v/>
      </c>
      <c r="M83" s="11">
        <f>IF(G83="","",G83-H83)</f>
        <v/>
      </c>
      <c r="N83" s="11">
        <f>IF(M83="","",M83-I83)</f>
        <v/>
      </c>
      <c r="O83" s="11">
        <f>IF(OR(L83="",L83&lt;=0),"자본잠식",ROUND(K83/L83*100,1))</f>
        <v/>
      </c>
      <c r="P83" s="11">
        <f>IF(OR(L83="",L83&lt;=0),"—",ROUND(N83/L83*100,1))</f>
        <v/>
      </c>
    </row>
    <row r="84">
      <c r="A84" s="7" t="inlineStr">
        <is>
          <t>S15</t>
        </is>
      </c>
      <c r="B84" s="7" t="n">
        <v>2020</v>
      </c>
      <c r="C84" s="7" t="n">
        <v>3770</v>
      </c>
      <c r="D84" s="7" t="n">
        <v>3770</v>
      </c>
      <c r="E84" s="7" t="n">
        <v>1976</v>
      </c>
      <c r="F84" s="7" t="n">
        <v>2964</v>
      </c>
      <c r="G84" s="7" t="n">
        <v>5200</v>
      </c>
      <c r="H84" s="7" t="n">
        <v>5580</v>
      </c>
      <c r="I84" s="7" t="n">
        <v>70</v>
      </c>
      <c r="J84" s="11">
        <f>IF(C84="","",C84+D84)</f>
        <v/>
      </c>
      <c r="K84" s="11">
        <f>IF(E84="","",E84+F84)</f>
        <v/>
      </c>
      <c r="L84" s="11">
        <f>IF(J84="","",J84-K84)</f>
        <v/>
      </c>
      <c r="M84" s="11">
        <f>IF(G84="","",G84-H84)</f>
        <v/>
      </c>
      <c r="N84" s="11">
        <f>IF(M84="","",M84-I84)</f>
        <v/>
      </c>
      <c r="O84" s="11">
        <f>IF(OR(L84="",L84&lt;=0),"자본잠식",ROUND(K84/L84*100,1))</f>
        <v/>
      </c>
      <c r="P84" s="11">
        <f>IF(OR(L84="",L84&lt;=0),"—",ROUND(N84/L84*100,1))</f>
        <v/>
      </c>
    </row>
    <row r="85">
      <c r="A85" s="7" t="inlineStr">
        <is>
          <t>S15</t>
        </is>
      </c>
      <c r="B85" s="7" t="n">
        <v>2021</v>
      </c>
      <c r="C85" s="7" t="n">
        <v>3387</v>
      </c>
      <c r="D85" s="7" t="n">
        <v>3386</v>
      </c>
      <c r="E85" s="7" t="n">
        <v>1849</v>
      </c>
      <c r="F85" s="7" t="n">
        <v>2774</v>
      </c>
      <c r="G85" s="7" t="n">
        <v>4300</v>
      </c>
      <c r="H85" s="7" t="n">
        <v>4820</v>
      </c>
      <c r="I85" s="7" t="n">
        <v>80</v>
      </c>
      <c r="J85" s="11">
        <f>IF(C85="","",C85+D85)</f>
        <v/>
      </c>
      <c r="K85" s="11">
        <f>IF(E85="","",E85+F85)</f>
        <v/>
      </c>
      <c r="L85" s="11">
        <f>IF(J85="","",J85-K85)</f>
        <v/>
      </c>
      <c r="M85" s="11">
        <f>IF(G85="","",G85-H85)</f>
        <v/>
      </c>
      <c r="N85" s="11">
        <f>IF(M85="","",M85-I85)</f>
        <v/>
      </c>
      <c r="O85" s="11">
        <f>IF(OR(L85="",L85&lt;=0),"자본잠식",ROUND(K85/L85*100,1))</f>
        <v/>
      </c>
      <c r="P85" s="11">
        <f>IF(OR(L85="",L85&lt;=0),"—",ROUND(N85/L85*100,1))</f>
        <v/>
      </c>
    </row>
    <row r="86">
      <c r="A86" s="7" t="inlineStr">
        <is>
          <t>S15</t>
        </is>
      </c>
      <c r="B86" s="7" t="n">
        <v>2022</v>
      </c>
      <c r="C86" s="7" t="n">
        <v>3660</v>
      </c>
      <c r="D86" s="7" t="n">
        <v>3660</v>
      </c>
      <c r="E86" s="7" t="n">
        <v>1968</v>
      </c>
      <c r="F86" s="7" t="n">
        <v>2952</v>
      </c>
      <c r="G86" s="7" t="n">
        <v>4800</v>
      </c>
      <c r="H86" s="7" t="n">
        <v>4950</v>
      </c>
      <c r="I86" s="7" t="n">
        <v>70</v>
      </c>
      <c r="J86" s="11">
        <f>IF(C86="","",C86+D86)</f>
        <v/>
      </c>
      <c r="K86" s="11">
        <f>IF(E86="","",E86+F86)</f>
        <v/>
      </c>
      <c r="L86" s="11">
        <f>IF(J86="","",J86-K86)</f>
        <v/>
      </c>
      <c r="M86" s="11">
        <f>IF(G86="","",G86-H86)</f>
        <v/>
      </c>
      <c r="N86" s="11">
        <f>IF(M86="","",M86-I86)</f>
        <v/>
      </c>
      <c r="O86" s="11">
        <f>IF(OR(L86="",L86&lt;=0),"자본잠식",ROUND(K86/L86*100,1))</f>
        <v/>
      </c>
      <c r="P86" s="11">
        <f>IF(OR(L86="",L86&lt;=0),"—",ROUND(N86/L86*100,1))</f>
        <v/>
      </c>
    </row>
    <row r="87">
      <c r="A87" s="7" t="inlineStr">
        <is>
          <t>S15</t>
        </is>
      </c>
      <c r="B87" s="7" t="n">
        <v>2023</v>
      </c>
      <c r="C87" s="7" t="n">
        <v>4479</v>
      </c>
      <c r="D87" s="7" t="n">
        <v>4479</v>
      </c>
      <c r="E87" s="7" t="n">
        <v>2326</v>
      </c>
      <c r="F87" s="7" t="n">
        <v>3489</v>
      </c>
      <c r="G87" s="7" t="n">
        <v>5600</v>
      </c>
      <c r="H87" s="7" t="n">
        <v>5420</v>
      </c>
      <c r="I87" s="7" t="n">
        <v>70</v>
      </c>
      <c r="J87" s="11">
        <f>IF(C87="","",C87+D87)</f>
        <v/>
      </c>
      <c r="K87" s="11">
        <f>IF(E87="","",E87+F87)</f>
        <v/>
      </c>
      <c r="L87" s="11">
        <f>IF(J87="","",J87-K87)</f>
        <v/>
      </c>
      <c r="M87" s="11">
        <f>IF(G87="","",G87-H87)</f>
        <v/>
      </c>
      <c r="N87" s="11">
        <f>IF(M87="","",M87-I87)</f>
        <v/>
      </c>
      <c r="O87" s="11">
        <f>IF(OR(L87="",L87&lt;=0),"자본잠식",ROUND(K87/L87*100,1))</f>
        <v/>
      </c>
      <c r="P87" s="11">
        <f>IF(OR(L87="",L87&lt;=0),"—",ROUND(N87/L87*100,1))</f>
        <v/>
      </c>
    </row>
    <row r="88">
      <c r="A88" s="7" t="inlineStr">
        <is>
          <t>S15</t>
        </is>
      </c>
      <c r="B88" s="7" t="n">
        <v>2024</v>
      </c>
      <c r="C88" s="7" t="n">
        <v>4727</v>
      </c>
      <c r="D88" s="7" t="n">
        <v>4727</v>
      </c>
      <c r="E88" s="7" t="n">
        <v>2327</v>
      </c>
      <c r="F88" s="7" t="n">
        <v>3491</v>
      </c>
      <c r="G88" s="7" t="n">
        <v>7100</v>
      </c>
      <c r="H88" s="7" t="n">
        <v>6480</v>
      </c>
      <c r="I88" s="7" t="n">
        <v>140</v>
      </c>
      <c r="J88" s="11">
        <f>IF(C88="","",C88+D88)</f>
        <v/>
      </c>
      <c r="K88" s="11">
        <f>IF(E88="","",E88+F88)</f>
        <v/>
      </c>
      <c r="L88" s="11">
        <f>IF(J88="","",J88-K88)</f>
        <v/>
      </c>
      <c r="M88" s="11">
        <f>IF(G88="","",G88-H88)</f>
        <v/>
      </c>
      <c r="N88" s="11">
        <f>IF(M88="","",M88-I88)</f>
        <v/>
      </c>
      <c r="O88" s="11">
        <f>IF(OR(L88="",L88&lt;=0),"자본잠식",ROUND(K88/L88*100,1))</f>
        <v/>
      </c>
      <c r="P88" s="11">
        <f>IF(OR(L88="",L88&lt;=0),"—",ROUND(N88/L88*100,1))</f>
        <v/>
      </c>
    </row>
    <row r="89">
      <c r="A89" s="7" t="inlineStr">
        <is>
          <t>S15</t>
        </is>
      </c>
      <c r="B89" s="7" t="n">
        <v>2025</v>
      </c>
      <c r="C89" s="7" t="n">
        <v>5066</v>
      </c>
      <c r="D89" s="7" t="n">
        <v>5066</v>
      </c>
      <c r="E89" s="7" t="n">
        <v>2563</v>
      </c>
      <c r="F89" s="7" t="n">
        <v>3844</v>
      </c>
      <c r="G89" s="7" t="n">
        <v>6300</v>
      </c>
      <c r="H89" s="7" t="n">
        <v>6020</v>
      </c>
      <c r="I89" s="7" t="n">
        <v>90</v>
      </c>
      <c r="J89" s="11">
        <f>IF(C89="","",C89+D89)</f>
        <v/>
      </c>
      <c r="K89" s="11">
        <f>IF(E89="","",E89+F89)</f>
        <v/>
      </c>
      <c r="L89" s="11">
        <f>IF(J89="","",J89-K89)</f>
        <v/>
      </c>
      <c r="M89" s="11">
        <f>IF(G89="","",G89-H89)</f>
        <v/>
      </c>
      <c r="N89" s="11">
        <f>IF(M89="","",M89-I89)</f>
        <v/>
      </c>
      <c r="O89" s="11">
        <f>IF(OR(L89="",L89&lt;=0),"자본잠식",ROUND(K89/L89*100,1))</f>
        <v/>
      </c>
      <c r="P89" s="11">
        <f>IF(OR(L89="",L89&lt;=0),"—",ROUND(N89/L89*100,1))</f>
        <v/>
      </c>
    </row>
    <row r="90">
      <c r="A90" s="7" t="inlineStr">
        <is>
          <t>S16</t>
        </is>
      </c>
      <c r="B90" s="7" t="n">
        <v>2020</v>
      </c>
      <c r="C90" s="7" t="n">
        <v>19</v>
      </c>
      <c r="D90" s="7" t="n">
        <v>18</v>
      </c>
      <c r="E90" s="7" t="n">
        <v>6</v>
      </c>
      <c r="F90" s="7" t="n">
        <v>8</v>
      </c>
      <c r="G90" s="7" t="n">
        <v>45</v>
      </c>
      <c r="H90" s="7" t="n">
        <v>165</v>
      </c>
      <c r="I90" s="7" t="n">
        <v>10</v>
      </c>
      <c r="J90" s="11">
        <f>IF(C90="","",C90+D90)</f>
        <v/>
      </c>
      <c r="K90" s="11">
        <f>IF(E90="","",E90+F90)</f>
        <v/>
      </c>
      <c r="L90" s="11">
        <f>IF(J90="","",J90-K90)</f>
        <v/>
      </c>
      <c r="M90" s="11">
        <f>IF(G90="","",G90-H90)</f>
        <v/>
      </c>
      <c r="N90" s="11">
        <f>IF(M90="","",M90-I90)</f>
        <v/>
      </c>
      <c r="O90" s="11">
        <f>IF(OR(L90="",L90&lt;=0),"자본잠식",ROUND(K90/L90*100,1))</f>
        <v/>
      </c>
      <c r="P90" s="11">
        <f>IF(OR(L90="",L90&lt;=0),"—",ROUND(N90/L90*100,1))</f>
        <v/>
      </c>
    </row>
    <row r="91">
      <c r="A91" s="7" t="inlineStr">
        <is>
          <t>S16</t>
        </is>
      </c>
      <c r="B91" s="7" t="n">
        <v>2021</v>
      </c>
      <c r="C91" s="7" t="n">
        <v>27</v>
      </c>
      <c r="D91" s="7" t="n">
        <v>26</v>
      </c>
      <c r="E91" s="7" t="n">
        <v>9</v>
      </c>
      <c r="F91" s="7" t="n">
        <v>14</v>
      </c>
      <c r="G91" s="7" t="n">
        <v>60</v>
      </c>
      <c r="H91" s="7" t="n">
        <v>240</v>
      </c>
      <c r="I91" s="7" t="n">
        <v>15</v>
      </c>
      <c r="J91" s="11">
        <f>IF(C91="","",C91+D91)</f>
        <v/>
      </c>
      <c r="K91" s="11">
        <f>IF(E91="","",E91+F91)</f>
        <v/>
      </c>
      <c r="L91" s="11">
        <f>IF(J91="","",J91-K91)</f>
        <v/>
      </c>
      <c r="M91" s="11">
        <f>IF(G91="","",G91-H91)</f>
        <v/>
      </c>
      <c r="N91" s="11">
        <f>IF(M91="","",M91-I91)</f>
        <v/>
      </c>
      <c r="O91" s="11">
        <f>IF(OR(L91="",L91&lt;=0),"자본잠식",ROUND(K91/L91*100,1))</f>
        <v/>
      </c>
      <c r="P91" s="11">
        <f>IF(OR(L91="",L91&lt;=0),"—",ROUND(N91/L91*100,1))</f>
        <v/>
      </c>
    </row>
    <row r="92">
      <c r="A92" s="7" t="inlineStr">
        <is>
          <t>S16</t>
        </is>
      </c>
      <c r="B92" s="7" t="n">
        <v>2022</v>
      </c>
      <c r="C92" s="7" t="n">
        <v>45</v>
      </c>
      <c r="D92" s="7" t="n">
        <v>45</v>
      </c>
      <c r="E92" s="7" t="n">
        <v>19</v>
      </c>
      <c r="F92" s="7" t="n">
        <v>28</v>
      </c>
      <c r="G92" s="7" t="n">
        <v>85</v>
      </c>
      <c r="H92" s="7" t="n">
        <v>325</v>
      </c>
      <c r="I92" s="7" t="n">
        <v>20</v>
      </c>
      <c r="J92" s="11">
        <f>IF(C92="","",C92+D92)</f>
        <v/>
      </c>
      <c r="K92" s="11">
        <f>IF(E92="","",E92+F92)</f>
        <v/>
      </c>
      <c r="L92" s="11">
        <f>IF(J92="","",J92-K92)</f>
        <v/>
      </c>
      <c r="M92" s="11">
        <f>IF(G92="","",G92-H92)</f>
        <v/>
      </c>
      <c r="N92" s="11">
        <f>IF(M92="","",M92-I92)</f>
        <v/>
      </c>
      <c r="O92" s="11">
        <f>IF(OR(L92="",L92&lt;=0),"자본잠식",ROUND(K92/L92*100,1))</f>
        <v/>
      </c>
      <c r="P92" s="11">
        <f>IF(OR(L92="",L92&lt;=0),"—",ROUND(N92/L92*100,1))</f>
        <v/>
      </c>
    </row>
    <row r="93">
      <c r="A93" s="7" t="inlineStr">
        <is>
          <t>S16</t>
        </is>
      </c>
      <c r="B93" s="7" t="n">
        <v>2023</v>
      </c>
      <c r="C93" s="7" t="n">
        <v>48</v>
      </c>
      <c r="D93" s="7" t="n">
        <v>47</v>
      </c>
      <c r="E93" s="7" t="n">
        <v>24</v>
      </c>
      <c r="F93" s="7" t="n">
        <v>36</v>
      </c>
      <c r="G93" s="7" t="n">
        <v>70</v>
      </c>
      <c r="H93" s="7" t="n">
        <v>350</v>
      </c>
      <c r="I93" s="7" t="n">
        <v>20</v>
      </c>
      <c r="J93" s="11">
        <f>IF(C93="","",C93+D93)</f>
        <v/>
      </c>
      <c r="K93" s="11">
        <f>IF(E93="","",E93+F93)</f>
        <v/>
      </c>
      <c r="L93" s="11">
        <f>IF(J93="","",J93-K93)</f>
        <v/>
      </c>
      <c r="M93" s="11">
        <f>IF(G93="","",G93-H93)</f>
        <v/>
      </c>
      <c r="N93" s="11">
        <f>IF(M93="","",M93-I93)</f>
        <v/>
      </c>
      <c r="O93" s="11">
        <f>IF(OR(L93="",L93&lt;=0),"자본잠식",ROUND(K93/L93*100,1))</f>
        <v/>
      </c>
      <c r="P93" s="11">
        <f>IF(OR(L93="",L93&lt;=0),"—",ROUND(N93/L93*100,1))</f>
        <v/>
      </c>
    </row>
    <row r="94">
      <c r="A94" s="7" t="inlineStr">
        <is>
          <t>S16</t>
        </is>
      </c>
      <c r="B94" s="7" t="n">
        <v>2024</v>
      </c>
      <c r="C94" s="7" t="n">
        <v>51</v>
      </c>
      <c r="D94" s="7" t="n">
        <v>50</v>
      </c>
      <c r="E94" s="7" t="n">
        <v>29</v>
      </c>
      <c r="F94" s="7" t="n">
        <v>44</v>
      </c>
      <c r="G94" s="7" t="n">
        <v>55</v>
      </c>
      <c r="H94" s="7" t="n">
        <v>305</v>
      </c>
      <c r="I94" s="7" t="n">
        <v>20</v>
      </c>
      <c r="J94" s="11">
        <f>IF(C94="","",C94+D94)</f>
        <v/>
      </c>
      <c r="K94" s="11">
        <f>IF(E94="","",E94+F94)</f>
        <v/>
      </c>
      <c r="L94" s="11">
        <f>IF(J94="","",J94-K94)</f>
        <v/>
      </c>
      <c r="M94" s="11">
        <f>IF(G94="","",G94-H94)</f>
        <v/>
      </c>
      <c r="N94" s="11">
        <f>IF(M94="","",M94-I94)</f>
        <v/>
      </c>
      <c r="O94" s="11">
        <f>IF(OR(L94="",L94&lt;=0),"자본잠식",ROUND(K94/L94*100,1))</f>
        <v/>
      </c>
      <c r="P94" s="11">
        <f>IF(OR(L94="",L94&lt;=0),"—",ROUND(N94/L94*100,1))</f>
        <v/>
      </c>
    </row>
    <row r="95">
      <c r="A95" s="7" t="inlineStr">
        <is>
          <t>S16</t>
        </is>
      </c>
      <c r="B95" s="7" t="n">
        <v>2025</v>
      </c>
      <c r="C95" s="7" t="n">
        <v>48</v>
      </c>
      <c r="D95" s="7" t="n">
        <v>48</v>
      </c>
      <c r="E95" s="7" t="n">
        <v>30</v>
      </c>
      <c r="F95" s="7" t="n">
        <v>46</v>
      </c>
      <c r="G95" s="7" t="n">
        <v>40</v>
      </c>
      <c r="H95" s="7" t="n">
        <v>250</v>
      </c>
      <c r="I95" s="7" t="n">
        <v>20</v>
      </c>
      <c r="J95" s="11">
        <f>IF(C95="","",C95+D95)</f>
        <v/>
      </c>
      <c r="K95" s="11">
        <f>IF(E95="","",E95+F95)</f>
        <v/>
      </c>
      <c r="L95" s="11">
        <f>IF(J95="","",J95-K95)</f>
        <v/>
      </c>
      <c r="M95" s="11">
        <f>IF(G95="","",G95-H95)</f>
        <v/>
      </c>
      <c r="N95" s="11">
        <f>IF(M95="","",M95-I95)</f>
        <v/>
      </c>
      <c r="O95" s="11">
        <f>IF(OR(L95="",L95&lt;=0),"자본잠식",ROUND(K95/L95*100,1))</f>
        <v/>
      </c>
      <c r="P95" s="11">
        <f>IF(OR(L95="",L95&lt;=0),"—",ROUND(N95/L95*100,1))</f>
        <v/>
      </c>
    </row>
    <row r="96">
      <c r="A96" s="7" t="inlineStr">
        <is>
          <t>S17</t>
        </is>
      </c>
      <c r="B96" s="7" t="n">
        <v>2020</v>
      </c>
      <c r="C96" s="7" t="n">
        <v>209</v>
      </c>
      <c r="D96" s="7" t="n">
        <v>209</v>
      </c>
      <c r="E96" s="7" t="n">
        <v>91</v>
      </c>
      <c r="F96" s="7" t="n">
        <v>137</v>
      </c>
      <c r="G96" s="7" t="n">
        <v>380</v>
      </c>
      <c r="H96" s="7" t="n">
        <v>520</v>
      </c>
      <c r="I96" s="7" t="n">
        <v>20</v>
      </c>
      <c r="J96" s="11">
        <f>IF(C96="","",C96+D96)</f>
        <v/>
      </c>
      <c r="K96" s="11">
        <f>IF(E96="","",E96+F96)</f>
        <v/>
      </c>
      <c r="L96" s="11">
        <f>IF(J96="","",J96-K96)</f>
        <v/>
      </c>
      <c r="M96" s="11">
        <f>IF(G96="","",G96-H96)</f>
        <v/>
      </c>
      <c r="N96" s="11">
        <f>IF(M96="","",M96-I96)</f>
        <v/>
      </c>
      <c r="O96" s="11">
        <f>IF(OR(L96="",L96&lt;=0),"자본잠식",ROUND(K96/L96*100,1))</f>
        <v/>
      </c>
      <c r="P96" s="11">
        <f>IF(OR(L96="",L96&lt;=0),"—",ROUND(N96/L96*100,1))</f>
        <v/>
      </c>
    </row>
    <row r="97">
      <c r="A97" s="7" t="inlineStr">
        <is>
          <t>S17</t>
        </is>
      </c>
      <c r="B97" s="7" t="n">
        <v>2021</v>
      </c>
      <c r="C97" s="7" t="n">
        <v>523</v>
      </c>
      <c r="D97" s="7" t="n">
        <v>523</v>
      </c>
      <c r="E97" s="7" t="n">
        <v>240</v>
      </c>
      <c r="F97" s="7" t="n">
        <v>361</v>
      </c>
      <c r="G97" s="7" t="n">
        <v>890</v>
      </c>
      <c r="H97" s="7" t="n">
        <v>1110</v>
      </c>
      <c r="I97" s="7" t="n">
        <v>30</v>
      </c>
      <c r="J97" s="11">
        <f>IF(C97="","",C97+D97)</f>
        <v/>
      </c>
      <c r="K97" s="11">
        <f>IF(E97="","",E97+F97)</f>
        <v/>
      </c>
      <c r="L97" s="11">
        <f>IF(J97="","",J97-K97)</f>
        <v/>
      </c>
      <c r="M97" s="11">
        <f>IF(G97="","",G97-H97)</f>
        <v/>
      </c>
      <c r="N97" s="11">
        <f>IF(M97="","",M97-I97)</f>
        <v/>
      </c>
      <c r="O97" s="11">
        <f>IF(OR(L97="",L97&lt;=0),"자본잠식",ROUND(K97/L97*100,1))</f>
        <v/>
      </c>
      <c r="P97" s="11">
        <f>IF(OR(L97="",L97&lt;=0),"—",ROUND(N97/L97*100,1))</f>
        <v/>
      </c>
    </row>
    <row r="98">
      <c r="A98" s="7" t="inlineStr">
        <is>
          <t>S17</t>
        </is>
      </c>
      <c r="B98" s="7" t="n">
        <v>2022</v>
      </c>
      <c r="C98" s="7" t="n">
        <v>844</v>
      </c>
      <c r="D98" s="7" t="n">
        <v>844</v>
      </c>
      <c r="E98" s="7" t="n">
        <v>405</v>
      </c>
      <c r="F98" s="7" t="n">
        <v>608</v>
      </c>
      <c r="G98" s="7" t="n">
        <v>1350</v>
      </c>
      <c r="H98" s="7" t="n">
        <v>1530</v>
      </c>
      <c r="I98" s="7" t="n">
        <v>30</v>
      </c>
      <c r="J98" s="11">
        <f>IF(C98="","",C98+D98)</f>
        <v/>
      </c>
      <c r="K98" s="11">
        <f>IF(E98="","",E98+F98)</f>
        <v/>
      </c>
      <c r="L98" s="11">
        <f>IF(J98="","",J98-K98)</f>
        <v/>
      </c>
      <c r="M98" s="11">
        <f>IF(G98="","",G98-H98)</f>
        <v/>
      </c>
      <c r="N98" s="11">
        <f>IF(M98="","",M98-I98)</f>
        <v/>
      </c>
      <c r="O98" s="11">
        <f>IF(OR(L98="",L98&lt;=0),"자본잠식",ROUND(K98/L98*100,1))</f>
        <v/>
      </c>
      <c r="P98" s="11">
        <f>IF(OR(L98="",L98&lt;=0),"—",ROUND(N98/L98*100,1))</f>
        <v/>
      </c>
    </row>
    <row r="99">
      <c r="A99" s="7" t="inlineStr">
        <is>
          <t>S17</t>
        </is>
      </c>
      <c r="B99" s="7" t="n">
        <v>2023</v>
      </c>
      <c r="C99" s="7" t="n">
        <v>853</v>
      </c>
      <c r="D99" s="7" t="n">
        <v>852</v>
      </c>
      <c r="E99" s="7" t="n">
        <v>558</v>
      </c>
      <c r="F99" s="7" t="n">
        <v>837</v>
      </c>
      <c r="G99" s="7" t="n">
        <v>620</v>
      </c>
      <c r="H99" s="7" t="n">
        <v>1510</v>
      </c>
      <c r="I99" s="7" t="n">
        <v>210</v>
      </c>
      <c r="J99" s="11">
        <f>IF(C99="","",C99+D99)</f>
        <v/>
      </c>
      <c r="K99" s="11">
        <f>IF(E99="","",E99+F99)</f>
        <v/>
      </c>
      <c r="L99" s="11">
        <f>IF(J99="","",J99-K99)</f>
        <v/>
      </c>
      <c r="M99" s="11">
        <f>IF(G99="","",G99-H99)</f>
        <v/>
      </c>
      <c r="N99" s="11">
        <f>IF(M99="","",M99-I99)</f>
        <v/>
      </c>
      <c r="O99" s="11">
        <f>IF(OR(L99="",L99&lt;=0),"자본잠식",ROUND(K99/L99*100,1))</f>
        <v/>
      </c>
      <c r="P99" s="11">
        <f>IF(OR(L99="",L99&lt;=0),"—",ROUND(N99/L99*100,1))</f>
        <v/>
      </c>
    </row>
    <row r="100">
      <c r="A100" s="7" t="inlineStr">
        <is>
          <t>S17</t>
        </is>
      </c>
      <c r="B100" s="7" t="n">
        <v>2024</v>
      </c>
      <c r="C100" s="7" t="n">
        <v>825</v>
      </c>
      <c r="D100" s="7" t="n">
        <v>825</v>
      </c>
      <c r="E100" s="7" t="n">
        <v>440</v>
      </c>
      <c r="F100" s="7" t="n">
        <v>660</v>
      </c>
      <c r="G100" s="7" t="n">
        <v>1100</v>
      </c>
      <c r="H100" s="7" t="n">
        <v>1250</v>
      </c>
      <c r="I100" s="7" t="n">
        <v>30</v>
      </c>
      <c r="J100" s="11">
        <f>IF(C100="","",C100+D100)</f>
        <v/>
      </c>
      <c r="K100" s="11">
        <f>IF(E100="","",E100+F100)</f>
        <v/>
      </c>
      <c r="L100" s="11">
        <f>IF(J100="","",J100-K100)</f>
        <v/>
      </c>
      <c r="M100" s="11">
        <f>IF(G100="","",G100-H100)</f>
        <v/>
      </c>
      <c r="N100" s="11">
        <f>IF(M100="","",M100-I100)</f>
        <v/>
      </c>
      <c r="O100" s="11">
        <f>IF(OR(L100="",L100&lt;=0),"자본잠식",ROUND(K100/L100*100,1))</f>
        <v/>
      </c>
      <c r="P100" s="11">
        <f>IF(OR(L100="",L100&lt;=0),"—",ROUND(N100/L100*100,1))</f>
        <v/>
      </c>
    </row>
    <row r="101">
      <c r="A101" s="7" t="inlineStr">
        <is>
          <t>S17</t>
        </is>
      </c>
      <c r="B101" s="7" t="n">
        <v>2025</v>
      </c>
      <c r="C101" s="7" t="n">
        <v>821</v>
      </c>
      <c r="D101" s="7" t="n">
        <v>821</v>
      </c>
      <c r="E101" s="7" t="n">
        <v>371</v>
      </c>
      <c r="F101" s="7" t="n">
        <v>557</v>
      </c>
      <c r="G101" s="7" t="n">
        <v>1900</v>
      </c>
      <c r="H101" s="7" t="n">
        <v>1840</v>
      </c>
      <c r="I101" s="7" t="n">
        <v>30</v>
      </c>
      <c r="J101" s="11">
        <f>IF(C101="","",C101+D101)</f>
        <v/>
      </c>
      <c r="K101" s="11">
        <f>IF(E101="","",E101+F101)</f>
        <v/>
      </c>
      <c r="L101" s="11">
        <f>IF(J101="","",J101-K101)</f>
        <v/>
      </c>
      <c r="M101" s="11">
        <f>IF(G101="","",G101-H101)</f>
        <v/>
      </c>
      <c r="N101" s="11">
        <f>IF(M101="","",M101-I101)</f>
        <v/>
      </c>
      <c r="O101" s="11">
        <f>IF(OR(L101="",L101&lt;=0),"자본잠식",ROUND(K101/L101*100,1))</f>
        <v/>
      </c>
      <c r="P101" s="11">
        <f>IF(OR(L101="",L101&lt;=0),"—",ROUND(N101/L101*100,1))</f>
        <v/>
      </c>
    </row>
    <row r="102">
      <c r="A102" s="7" t="inlineStr">
        <is>
          <t>S18</t>
        </is>
      </c>
      <c r="B102" s="7" t="n">
        <v>2020</v>
      </c>
      <c r="C102" s="7" t="n">
        <v>226830</v>
      </c>
      <c r="D102" s="7" t="n">
        <v>226829</v>
      </c>
      <c r="E102" s="7" t="n">
        <v>64390</v>
      </c>
      <c r="F102" s="7" t="n">
        <v>96586</v>
      </c>
      <c r="G102" s="7" t="n">
        <v>486000</v>
      </c>
      <c r="H102" s="7" t="n">
        <v>454000</v>
      </c>
      <c r="I102" s="7" t="n">
        <v>8000</v>
      </c>
      <c r="J102" s="11">
        <f>IF(C102="","",C102+D102)</f>
        <v/>
      </c>
      <c r="K102" s="11">
        <f>IF(E102="","",E102+F102)</f>
        <v/>
      </c>
      <c r="L102" s="11">
        <f>IF(J102="","",J102-K102)</f>
        <v/>
      </c>
      <c r="M102" s="11">
        <f>IF(G102="","",G102-H102)</f>
        <v/>
      </c>
      <c r="N102" s="11">
        <f>IF(M102="","",M102-I102)</f>
        <v/>
      </c>
      <c r="O102" s="11">
        <f>IF(OR(L102="",L102&lt;=0),"자본잠식",ROUND(K102/L102*100,1))</f>
        <v/>
      </c>
      <c r="P102" s="11">
        <f>IF(OR(L102="",L102&lt;=0),"—",ROUND(N102/L102*100,1))</f>
        <v/>
      </c>
    </row>
    <row r="103">
      <c r="A103" s="7" t="inlineStr">
        <is>
          <t>S18</t>
        </is>
      </c>
      <c r="B103" s="7" t="n">
        <v>2021</v>
      </c>
      <c r="C103" s="7" t="n">
        <v>236011</v>
      </c>
      <c r="D103" s="7" t="n">
        <v>236011</v>
      </c>
      <c r="E103" s="7" t="n">
        <v>65404</v>
      </c>
      <c r="F103" s="7" t="n">
        <v>98107</v>
      </c>
      <c r="G103" s="7" t="n">
        <v>512000</v>
      </c>
      <c r="H103" s="7" t="n">
        <v>474000</v>
      </c>
      <c r="I103" s="7" t="n">
        <v>9000</v>
      </c>
      <c r="J103" s="11">
        <f>IF(C103="","",C103+D103)</f>
        <v/>
      </c>
      <c r="K103" s="11">
        <f>IF(E103="","",E103+F103)</f>
        <v/>
      </c>
      <c r="L103" s="11">
        <f>IF(J103="","",J103-K103)</f>
        <v/>
      </c>
      <c r="M103" s="11">
        <f>IF(G103="","",G103-H103)</f>
        <v/>
      </c>
      <c r="N103" s="11">
        <f>IF(M103="","",M103-I103)</f>
        <v/>
      </c>
      <c r="O103" s="11">
        <f>IF(OR(L103="",L103&lt;=0),"자본잠식",ROUND(K103/L103*100,1))</f>
        <v/>
      </c>
      <c r="P103" s="11">
        <f>IF(OR(L103="",L103&lt;=0),"—",ROUND(N103/L103*100,1))</f>
        <v/>
      </c>
    </row>
    <row r="104">
      <c r="A104" s="7" t="inlineStr">
        <is>
          <t>S18</t>
        </is>
      </c>
      <c r="B104" s="7" t="n">
        <v>2022</v>
      </c>
      <c r="C104" s="7" t="n">
        <v>244477</v>
      </c>
      <c r="D104" s="7" t="n">
        <v>244476</v>
      </c>
      <c r="E104" s="7" t="n">
        <v>66057</v>
      </c>
      <c r="F104" s="7" t="n">
        <v>99086</v>
      </c>
      <c r="G104" s="7" t="n">
        <v>561000</v>
      </c>
      <c r="H104" s="7" t="n">
        <v>516000</v>
      </c>
      <c r="I104" s="7" t="n">
        <v>11000</v>
      </c>
      <c r="J104" s="11">
        <f>IF(C104="","",C104+D104)</f>
        <v/>
      </c>
      <c r="K104" s="11">
        <f>IF(E104="","",E104+F104)</f>
        <v/>
      </c>
      <c r="L104" s="11">
        <f>IF(J104="","",J104-K104)</f>
        <v/>
      </c>
      <c r="M104" s="11">
        <f>IF(G104="","",G104-H104)</f>
        <v/>
      </c>
      <c r="N104" s="11">
        <f>IF(M104="","",M104-I104)</f>
        <v/>
      </c>
      <c r="O104" s="11">
        <f>IF(OR(L104="",L104&lt;=0),"자본잠식",ROUND(K104/L104*100,1))</f>
        <v/>
      </c>
      <c r="P104" s="11">
        <f>IF(OR(L104="",L104&lt;=0),"—",ROUND(N104/L104*100,1))</f>
        <v/>
      </c>
    </row>
    <row r="105">
      <c r="A105" s="7" t="inlineStr">
        <is>
          <t>S18</t>
        </is>
      </c>
      <c r="B105" s="7" t="n">
        <v>2023</v>
      </c>
      <c r="C105" s="7" t="n">
        <v>256667</v>
      </c>
      <c r="D105" s="7" t="n">
        <v>256666</v>
      </c>
      <c r="E105" s="7" t="n">
        <v>72000</v>
      </c>
      <c r="F105" s="7" t="n">
        <v>108000</v>
      </c>
      <c r="G105" s="7" t="n">
        <v>528000</v>
      </c>
      <c r="H105" s="7" t="n">
        <v>497000</v>
      </c>
      <c r="I105" s="7" t="n">
        <v>8000</v>
      </c>
      <c r="J105" s="11">
        <f>IF(C105="","",C105+D105)</f>
        <v/>
      </c>
      <c r="K105" s="11">
        <f>IF(E105="","",E105+F105)</f>
        <v/>
      </c>
      <c r="L105" s="11">
        <f>IF(J105="","",J105-K105)</f>
        <v/>
      </c>
      <c r="M105" s="11">
        <f>IF(G105="","",G105-H105)</f>
        <v/>
      </c>
      <c r="N105" s="11">
        <f>IF(M105="","",M105-I105)</f>
        <v/>
      </c>
      <c r="O105" s="11">
        <f>IF(OR(L105="",L105&lt;=0),"자본잠식",ROUND(K105/L105*100,1))</f>
        <v/>
      </c>
      <c r="P105" s="11">
        <f>IF(OR(L105="",L105&lt;=0),"—",ROUND(N105/L105*100,1))</f>
        <v/>
      </c>
    </row>
    <row r="106">
      <c r="A106" s="7" t="inlineStr">
        <is>
          <t>S18</t>
        </is>
      </c>
      <c r="B106" s="7" t="n">
        <v>2024</v>
      </c>
      <c r="C106" s="7" t="n">
        <v>264706</v>
      </c>
      <c r="D106" s="7" t="n">
        <v>264706</v>
      </c>
      <c r="E106" s="7" t="n">
        <v>70588</v>
      </c>
      <c r="F106" s="7" t="n">
        <v>105883</v>
      </c>
      <c r="G106" s="7" t="n">
        <v>589000</v>
      </c>
      <c r="H106" s="7" t="n">
        <v>542000</v>
      </c>
      <c r="I106" s="7" t="n">
        <v>11000</v>
      </c>
      <c r="J106" s="11">
        <f>IF(C106="","",C106+D106)</f>
        <v/>
      </c>
      <c r="K106" s="11">
        <f>IF(E106="","",E106+F106)</f>
        <v/>
      </c>
      <c r="L106" s="11">
        <f>IF(J106="","",J106-K106)</f>
        <v/>
      </c>
      <c r="M106" s="11">
        <f>IF(G106="","",G106-H106)</f>
        <v/>
      </c>
      <c r="N106" s="11">
        <f>IF(M106="","",M106-I106)</f>
        <v/>
      </c>
      <c r="O106" s="11">
        <f>IF(OR(L106="",L106&lt;=0),"자본잠식",ROUND(K106/L106*100,1))</f>
        <v/>
      </c>
      <c r="P106" s="11">
        <f>IF(OR(L106="",L106&lt;=0),"—",ROUND(N106/L106*100,1))</f>
        <v/>
      </c>
    </row>
    <row r="107">
      <c r="A107" s="7" t="inlineStr">
        <is>
          <t>S18</t>
        </is>
      </c>
      <c r="B107" s="7" t="n">
        <v>2025</v>
      </c>
      <c r="C107" s="7" t="n">
        <v>282204</v>
      </c>
      <c r="D107" s="7" t="n">
        <v>282203</v>
      </c>
      <c r="E107" s="7" t="n">
        <v>73220</v>
      </c>
      <c r="F107" s="7" t="n">
        <v>109831</v>
      </c>
      <c r="G107" s="7" t="n">
        <v>642000</v>
      </c>
      <c r="H107" s="7" t="n">
        <v>584000</v>
      </c>
      <c r="I107" s="7" t="n">
        <v>13000</v>
      </c>
      <c r="J107" s="11">
        <f>IF(C107="","",C107+D107)</f>
        <v/>
      </c>
      <c r="K107" s="11">
        <f>IF(E107="","",E107+F107)</f>
        <v/>
      </c>
      <c r="L107" s="11">
        <f>IF(J107="","",J107-K107)</f>
        <v/>
      </c>
      <c r="M107" s="11">
        <f>IF(G107="","",G107-H107)</f>
        <v/>
      </c>
      <c r="N107" s="11">
        <f>IF(M107="","",M107-I107)</f>
        <v/>
      </c>
      <c r="O107" s="11">
        <f>IF(OR(L107="",L107&lt;=0),"자본잠식",ROUND(K107/L107*100,1))</f>
        <v/>
      </c>
      <c r="P107" s="11">
        <f>IF(OR(L107="",L107&lt;=0),"—",ROUND(N107/L107*100,1))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5" customWidth="1" min="3" max="3"/>
    <col width="19" customWidth="1" min="4" max="4"/>
    <col width="18" customWidth="1" min="5" max="5"/>
  </cols>
  <sheetData>
    <row r="1">
      <c r="A1" s="1" t="inlineStr">
        <is>
          <t>④ 힌트 (라운드 × 등급)</t>
        </is>
      </c>
    </row>
    <row r="2">
      <c r="A2" s="5" t="inlineStr">
        <is>
          <t>★ R2 힌트 = "R2 연도→다음 연도" 변동 예고. R1은 지급 없음(작성 불필요). 방향(up=호재/down=악재/flat=중립)·관련 종목ID(쉼표 구분, 예: S04,S02)는 선택이지만 채우면 자동 검증·종목 링크가 작동해요. 학생에겐 방향이 안 보여요.</t>
        </is>
      </c>
    </row>
    <row r="4">
      <c r="A4" s="6" t="inlineStr">
        <is>
          <t>라운드</t>
        </is>
      </c>
      <c r="B4" s="6" t="inlineStr">
        <is>
          <t>등급(S~D)</t>
        </is>
      </c>
      <c r="C4" s="6" t="inlineStr">
        <is>
          <t>힌트 문구</t>
        </is>
      </c>
      <c r="D4" s="8" t="inlineStr">
        <is>
          <t>방향(up/down/flat) (선택)</t>
        </is>
      </c>
      <c r="E4" s="8" t="inlineStr">
        <is>
          <t>관련 종목ID (선택)</t>
        </is>
      </c>
    </row>
    <row r="5">
      <c r="A5" s="7" t="n">
        <v>2</v>
      </c>
      <c r="B5" s="7" t="inlineStr">
        <is>
          <t>S</t>
        </is>
      </c>
      <c r="C5" s="7" t="inlineStr">
        <is>
          <t>D게임즈 신작, 사전예약 서버가 마비됐다… 업계 '역대급 흥행' 확신</t>
        </is>
      </c>
      <c r="D5" s="9" t="inlineStr">
        <is>
          <t>up</t>
        </is>
      </c>
      <c r="E5" s="9" t="inlineStr">
        <is>
          <t>S04</t>
        </is>
      </c>
    </row>
    <row r="6">
      <c r="A6" s="7" t="n">
        <v>2</v>
      </c>
      <c r="B6" s="7" t="inlineStr">
        <is>
          <t>A</t>
        </is>
      </c>
      <c r="C6" s="7" t="inlineStr">
        <is>
          <t>거품 논란의 모빌리티 업계, 투자금이 마르고 있다는 소문 — F모빌리티 자금난설</t>
        </is>
      </c>
      <c r="D6" s="9" t="inlineStr">
        <is>
          <t>down</t>
        </is>
      </c>
      <c r="E6" s="9" t="inlineStr">
        <is>
          <t>S06</t>
        </is>
      </c>
    </row>
    <row r="7">
      <c r="A7" s="7" t="n">
        <v>2</v>
      </c>
      <c r="B7" s="7" t="inlineStr">
        <is>
          <t>B</t>
        </is>
      </c>
      <c r="C7" s="7" t="inlineStr">
        <is>
          <t>바이오 임상 발표 시즌 도래… 일부 바이오 기업에 큰 장이 설 것이란 전망</t>
        </is>
      </c>
      <c r="D7" s="9" t="inlineStr">
        <is>
          <t>up</t>
        </is>
      </c>
      <c r="E7" s="9" t="inlineStr">
        <is>
          <t>S16</t>
        </is>
      </c>
    </row>
    <row r="8">
      <c r="A8" s="7" t="n">
        <v>2</v>
      </c>
      <c r="B8" s="7" t="inlineStr">
        <is>
          <t>C</t>
        </is>
      </c>
      <c r="C8" s="7" t="inlineStr">
        <is>
          <t>작년에 SNS에서 유행한 것들, 올해도 유행하리란 법은 없다</t>
        </is>
      </c>
      <c r="D8" s="9" t="inlineStr">
        <is>
          <t>down</t>
        </is>
      </c>
      <c r="E8" s="9" t="inlineStr">
        <is>
          <t>S14</t>
        </is>
      </c>
    </row>
    <row r="9">
      <c r="A9" s="7" t="n">
        <v>2</v>
      </c>
      <c r="B9" s="7" t="inlineStr">
        <is>
          <t>D</t>
        </is>
      </c>
      <c r="C9" s="7" t="inlineStr">
        <is>
          <t>시장이 흔들릴 때는 오히려 금융이 웃는다는 옛말이 있다. 늘 맞는 말은 아니지만.</t>
        </is>
      </c>
      <c r="D9" s="9" t="inlineStr">
        <is>
          <t>up</t>
        </is>
      </c>
      <c r="E9" s="9" t="inlineStr">
        <is>
          <t>S05</t>
        </is>
      </c>
    </row>
    <row r="10">
      <c r="A10" s="7" t="n">
        <v>3</v>
      </c>
      <c r="B10" s="7" t="inlineStr">
        <is>
          <t>S</t>
        </is>
      </c>
      <c r="C10" s="7" t="inlineStr">
        <is>
          <t>큐픽플랫폼 회계 부정 의혹 내부 고발… 상장폐지 심사설까지 거론</t>
        </is>
      </c>
      <c r="D10" s="9" t="inlineStr">
        <is>
          <t>down</t>
        </is>
      </c>
      <c r="E10" s="9" t="inlineStr">
        <is>
          <t>S17</t>
        </is>
      </c>
    </row>
    <row r="11">
      <c r="A11" s="7" t="n">
        <v>3</v>
      </c>
      <c r="B11" s="7" t="inlineStr">
        <is>
          <t>A</t>
        </is>
      </c>
      <c r="C11" s="7" t="inlineStr">
        <is>
          <t>전기차 보조금 대폭 축소 예고 — 전기차·모빌리티 업계 실적 경고등</t>
        </is>
      </c>
      <c r="D11" s="9" t="inlineStr">
        <is>
          <t>down</t>
        </is>
      </c>
      <c r="E11" s="9" t="inlineStr">
        <is>
          <t>S09,S06</t>
        </is>
      </c>
    </row>
    <row r="12">
      <c r="A12" s="7" t="n">
        <v>3</v>
      </c>
      <c r="B12" s="7" t="inlineStr">
        <is>
          <t>B</t>
        </is>
      </c>
      <c r="C12" s="7" t="inlineStr">
        <is>
          <t>불경기에는 결국 먹는 장사와 약 장사가 남는다는 분석</t>
        </is>
      </c>
      <c r="D12" s="9" t="inlineStr">
        <is>
          <t>up</t>
        </is>
      </c>
      <c r="E12" s="9" t="inlineStr">
        <is>
          <t>S08,S11</t>
        </is>
      </c>
    </row>
    <row r="13">
      <c r="A13" s="7" t="n">
        <v>3</v>
      </c>
      <c r="B13" s="7" t="inlineStr">
        <is>
          <t>C</t>
        </is>
      </c>
      <c r="C13" s="7" t="inlineStr">
        <is>
          <t>화려한 곳에서 조용한 곳으로, 큰손들의 시선이 옮겨가고 있다</t>
        </is>
      </c>
      <c r="D13" s="9" t="inlineStr">
        <is>
          <t>up</t>
        </is>
      </c>
      <c r="E13" s="9" t="inlineStr">
        <is>
          <t>S10</t>
        </is>
      </c>
    </row>
    <row r="14">
      <c r="A14" s="7" t="n">
        <v>3</v>
      </c>
      <c r="B14" s="7" t="inlineStr">
        <is>
          <t>D</t>
        </is>
      </c>
      <c r="C14" s="7" t="inlineStr">
        <is>
          <t>올해는 '살아남는 것'이 수익률이라는 말이 돈다</t>
        </is>
      </c>
      <c r="D14" s="9" t="inlineStr">
        <is>
          <t>flat</t>
        </is>
      </c>
      <c r="E14" s="9" t="inlineStr"/>
    </row>
    <row r="15">
      <c r="A15" s="7" t="n">
        <v>4</v>
      </c>
      <c r="B15" s="7" t="inlineStr">
        <is>
          <t>S</t>
        </is>
      </c>
      <c r="C15" s="7" t="inlineStr">
        <is>
          <t>J시스템즈, 글로벌 AI 기업과 서버 공급 계약 임박설 — 사실이면 회사가 달라진다</t>
        </is>
      </c>
      <c r="D15" s="9" t="inlineStr">
        <is>
          <t>up</t>
        </is>
      </c>
      <c r="E15" s="9" t="inlineStr">
        <is>
          <t>S10</t>
        </is>
      </c>
    </row>
    <row r="16">
      <c r="A16" s="7" t="n">
        <v>4</v>
      </c>
      <c r="B16" s="7" t="inlineStr">
        <is>
          <t>A</t>
        </is>
      </c>
      <c r="C16" s="7" t="inlineStr">
        <is>
          <t>양재금융 부채 만기 집중… 채권단 '상환 능력 의문' — 최악의 경우 상장폐지</t>
        </is>
      </c>
      <c r="D16" s="9" t="inlineStr">
        <is>
          <t>down</t>
        </is>
      </c>
      <c r="E16" s="9" t="inlineStr">
        <is>
          <t>S05</t>
        </is>
      </c>
    </row>
    <row r="17">
      <c r="A17" s="7" t="n">
        <v>4</v>
      </c>
      <c r="B17" s="7" t="inlineStr">
        <is>
          <t>B</t>
        </is>
      </c>
      <c r="C17" s="7" t="inlineStr">
        <is>
          <t>AI 붐이 진짜라면, 서버·반도체·전력 관련주가 먼저 움직인다</t>
        </is>
      </c>
      <c r="D17" s="9" t="inlineStr">
        <is>
          <t>up</t>
        </is>
      </c>
      <c r="E17" s="9" t="inlineStr">
        <is>
          <t>S10,S02,S07</t>
        </is>
      </c>
    </row>
    <row r="18">
      <c r="A18" s="7" t="n">
        <v>4</v>
      </c>
      <c r="B18" s="7" t="inlineStr">
        <is>
          <t>C</t>
        </is>
      </c>
      <c r="C18" s="7" t="inlineStr">
        <is>
          <t>죽었다던 그 플랫폼, 새 주인을 만났다는 소문이 있다</t>
        </is>
      </c>
      <c r="D18" s="9" t="inlineStr">
        <is>
          <t>up</t>
        </is>
      </c>
      <c r="E18" s="9" t="inlineStr">
        <is>
          <t>S17</t>
        </is>
      </c>
    </row>
    <row r="19">
      <c r="A19" s="7" t="n">
        <v>4</v>
      </c>
      <c r="B19" s="7" t="inlineStr">
        <is>
          <t>D</t>
        </is>
      </c>
      <c r="C19" s="7" t="inlineStr">
        <is>
          <t>바닥인 줄 알았는데 지하실이 있더라 — 어느 투자자의 한탄</t>
        </is>
      </c>
      <c r="D19" s="9" t="inlineStr">
        <is>
          <t>down</t>
        </is>
      </c>
      <c r="E19" s="9" t="inlineStr">
        <is>
          <t>S16,S06</t>
        </is>
      </c>
    </row>
    <row r="20">
      <c r="A20" s="7" t="n">
        <v>5</v>
      </c>
      <c r="B20" s="7" t="inlineStr">
        <is>
          <t>S</t>
        </is>
      </c>
      <c r="C20" s="7" t="inlineStr">
        <is>
          <t>M증권, 이용자 1천만 돌파에 흑자 전환까지 — 증권가 '올해의 성장주' 만장일치</t>
        </is>
      </c>
      <c r="D20" s="9" t="inlineStr">
        <is>
          <t>up</t>
        </is>
      </c>
      <c r="E20" s="9" t="inlineStr">
        <is>
          <t>S13</t>
        </is>
      </c>
    </row>
    <row r="21">
      <c r="A21" s="7" t="n">
        <v>5</v>
      </c>
      <c r="B21" s="7" t="inlineStr">
        <is>
          <t>A</t>
        </is>
      </c>
      <c r="C21" s="7" t="inlineStr">
        <is>
          <t>F모빌리티 법정관리 신청 초읽기… 주식이 휴지가 될 수 있다는 경고</t>
        </is>
      </c>
      <c r="D21" s="9" t="inlineStr">
        <is>
          <t>down</t>
        </is>
      </c>
      <c r="E21" s="9" t="inlineStr">
        <is>
          <t>S06</t>
        </is>
      </c>
    </row>
    <row r="22">
      <c r="A22" s="7" t="n">
        <v>5</v>
      </c>
      <c r="B22" s="7" t="inlineStr">
        <is>
          <t>B</t>
        </is>
      </c>
      <c r="C22" s="7" t="inlineStr">
        <is>
          <t>K-콘텐츠 해외 매출 사상 최대 전망 — 엔터·게임주 수혜 기대</t>
        </is>
      </c>
      <c r="D22" s="9" t="inlineStr">
        <is>
          <t>up</t>
        </is>
      </c>
      <c r="E22" s="9" t="inlineStr">
        <is>
          <t>S12,S04</t>
        </is>
      </c>
    </row>
    <row r="23">
      <c r="A23" s="7" t="n">
        <v>5</v>
      </c>
      <c r="B23" s="7" t="inlineStr">
        <is>
          <t>C</t>
        </is>
      </c>
      <c r="C23" s="7" t="inlineStr">
        <is>
          <t>작년의 영웅이 올해도 영웅인 경우는 드물다</t>
        </is>
      </c>
      <c r="D23" s="9" t="inlineStr">
        <is>
          <t>down</t>
        </is>
      </c>
      <c r="E23" s="9" t="inlineStr">
        <is>
          <t>S10</t>
        </is>
      </c>
    </row>
    <row r="24">
      <c r="A24" s="7" t="n">
        <v>5</v>
      </c>
      <c r="B24" s="7" t="inlineStr">
        <is>
          <t>D</t>
        </is>
      </c>
      <c r="C24" s="7" t="inlineStr">
        <is>
          <t>보험을 들어야 할 때와 팔아야 할 때가 있다</t>
        </is>
      </c>
      <c r="D24" s="9" t="inlineStr">
        <is>
          <t>down</t>
        </is>
      </c>
      <c r="E24" s="9" t="inlineStr">
        <is>
          <t>S01</t>
        </is>
      </c>
    </row>
  </sheetData>
  <dataValidations count="2">
    <dataValidation type="list" allowBlank="1" showInputMessage="1" showErrorMessage="1" errorTitle="등급 확인" error="S · A · B · C · D 중에서 고르세요." sqref="B5:B200">
      <formula1>"S,A,B,C,D"</formula1>
    </dataValidation>
    <dataValidation type="list" allowBlank="1" showInputMessage="1" showErrorMessage="1" errorTitle="방향 확인" error="up · down · flat 중에서 고르세요 (비워도 돼요=flat)." sqref="D5:D200">
      <formula1>"up,down,flat"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3" customWidth="1" min="4" max="4"/>
    <col width="11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⑤ 시황 (연도별 거시경제)</t>
        </is>
      </c>
    </row>
    <row r="2">
      <c r="A2" s="5" t="inlineStr">
        <is>
          <t>한 행 = 한 해. 실제 역사와 비슷하게 쓰면 교육 효과가 좋아요. 한 줄 요약은 학생 시황판 맨 위에 크게 보여요.</t>
        </is>
      </c>
    </row>
    <row r="4">
      <c r="A4" s="6" t="inlineStr">
        <is>
          <t>연도</t>
        </is>
      </c>
      <c r="B4" s="6" t="inlineStr">
        <is>
          <t>한 줄 요약</t>
        </is>
      </c>
      <c r="C4" s="6" t="inlineStr">
        <is>
          <t>코스피지수(pt)</t>
        </is>
      </c>
      <c r="D4" s="6" t="inlineStr">
        <is>
          <t>S&amp;P 500(pt)</t>
        </is>
      </c>
      <c r="E4" s="6" t="inlineStr">
        <is>
          <t>일본지수(pt)</t>
        </is>
      </c>
      <c r="F4" s="6" t="inlineStr">
        <is>
          <t>유럽지수(pt)</t>
        </is>
      </c>
      <c r="G4" s="6" t="inlineStr">
        <is>
          <t>기준금리(%)</t>
        </is>
      </c>
      <c r="H4" s="6" t="inlineStr">
        <is>
          <t>물가상승률(%)</t>
        </is>
      </c>
      <c r="I4" s="6" t="inlineStr">
        <is>
          <t>국제유가($)</t>
        </is>
      </c>
      <c r="J4" s="6" t="inlineStr">
        <is>
          <t>금($/oz)</t>
        </is>
      </c>
    </row>
    <row r="5">
      <c r="A5" s="7" t="n">
        <v>2020</v>
      </c>
      <c r="B5" s="7" t="inlineStr">
        <is>
          <t>코로나 충격으로 경기 급랭 — 초저금리·유가 폭락</t>
        </is>
      </c>
      <c r="C5" s="7" t="n">
        <v>2300</v>
      </c>
      <c r="D5" s="7" t="n">
        <v>3100</v>
      </c>
      <c r="E5" s="7" t="n">
        <v>23000</v>
      </c>
      <c r="F5" s="7" t="n">
        <v>3300</v>
      </c>
      <c r="G5" s="7" t="n">
        <v>0.5</v>
      </c>
      <c r="H5" s="7" t="n">
        <v>0.5</v>
      </c>
      <c r="I5" s="7" t="n">
        <v>42</v>
      </c>
      <c r="J5" s="7" t="n">
        <v>1900</v>
      </c>
    </row>
    <row r="6">
      <c r="A6" s="7" t="n">
        <v>2021</v>
      </c>
      <c r="B6" s="7" t="inlineStr">
        <is>
          <t>경기 반등·유동성 장세 — 성장주 급등</t>
        </is>
      </c>
      <c r="C6" s="7" t="n">
        <v>3200</v>
      </c>
      <c r="D6" s="7" t="n">
        <v>4300</v>
      </c>
      <c r="E6" s="7" t="n">
        <v>28000</v>
      </c>
      <c r="F6" s="7" t="n">
        <v>4300</v>
      </c>
      <c r="G6" s="7" t="n">
        <v>0.75</v>
      </c>
      <c r="H6" s="7" t="n">
        <v>2.5</v>
      </c>
      <c r="I6" s="7" t="n">
        <v>68</v>
      </c>
      <c r="J6" s="7" t="n">
        <v>1800</v>
      </c>
    </row>
    <row r="7">
      <c r="A7" s="7" t="n">
        <v>2022</v>
      </c>
      <c r="B7" s="7" t="inlineStr">
        <is>
          <t>인플레이션 급등, 금리 인상 시작 — 성장주 조정</t>
        </is>
      </c>
      <c r="C7" s="7" t="n">
        <v>2400</v>
      </c>
      <c r="D7" s="7" t="n">
        <v>3600</v>
      </c>
      <c r="E7" s="7" t="n">
        <v>26000</v>
      </c>
      <c r="F7" s="7" t="n">
        <v>3800</v>
      </c>
      <c r="G7" s="7" t="n">
        <v>3.25</v>
      </c>
      <c r="H7" s="7" t="n">
        <v>5.1</v>
      </c>
      <c r="I7" s="7" t="n">
        <v>95</v>
      </c>
      <c r="J7" s="7" t="n">
        <v>1850</v>
      </c>
    </row>
    <row r="8">
      <c r="A8" s="7" t="n">
        <v>2023</v>
      </c>
      <c r="B8" s="7" t="inlineStr">
        <is>
          <t>고금리 지속·경기 둔화 — 실적 옥석 가리기</t>
        </is>
      </c>
      <c r="C8" s="7" t="n">
        <v>2600</v>
      </c>
      <c r="D8" s="7" t="n">
        <v>4200</v>
      </c>
      <c r="E8" s="7" t="n">
        <v>33000</v>
      </c>
      <c r="F8" s="7" t="n">
        <v>4500</v>
      </c>
      <c r="G8" s="7" t="n">
        <v>3.5</v>
      </c>
      <c r="H8" s="7" t="n">
        <v>3.6</v>
      </c>
      <c r="I8" s="7" t="n">
        <v>78</v>
      </c>
      <c r="J8" s="7" t="n">
        <v>2000</v>
      </c>
    </row>
    <row r="9">
      <c r="A9" s="7" t="n">
        <v>2024</v>
      </c>
      <c r="B9" s="7" t="inlineStr">
        <is>
          <t>금리 인하 기대·완만한 회복</t>
        </is>
      </c>
      <c r="C9" s="7" t="n">
        <v>2800</v>
      </c>
      <c r="D9" s="7" t="n">
        <v>5100</v>
      </c>
      <c r="E9" s="7" t="n">
        <v>38000</v>
      </c>
      <c r="F9" s="7" t="n">
        <v>4900</v>
      </c>
      <c r="G9" s="7" t="n">
        <v>3</v>
      </c>
      <c r="H9" s="7" t="n">
        <v>2.3</v>
      </c>
      <c r="I9" s="7" t="n">
        <v>80</v>
      </c>
      <c r="J9" s="7" t="n">
        <v>2600</v>
      </c>
    </row>
    <row r="10">
      <c r="A10" s="7" t="n">
        <v>2025</v>
      </c>
      <c r="B10" s="7" t="inlineStr">
        <is>
          <t>금리 정상화·안정 국면</t>
        </is>
      </c>
      <c r="C10" s="7" t="n">
        <v>2900</v>
      </c>
      <c r="D10" s="7" t="n">
        <v>5400</v>
      </c>
      <c r="E10" s="7" t="n">
        <v>39000</v>
      </c>
      <c r="F10" s="7" t="n">
        <v>5100</v>
      </c>
      <c r="G10" s="7" t="n">
        <v>2.5</v>
      </c>
      <c r="H10" s="7" t="n">
        <v>2</v>
      </c>
      <c r="I10" s="7" t="n">
        <v>72</v>
      </c>
      <c r="J10" s="7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2026-08-15T05:18:04Z</dcterms:created>
  <dcterms:modified xmlns:dcterms="http://purl.org/dc/terms/" xmlns:xsi="http://www.w3.org/2001/XMLSchema-instance" xsi:type="dcterms:W3CDTF">2026-08-20T04:49:27Z</dcterms:modified>
</cp:coreProperties>
</file>